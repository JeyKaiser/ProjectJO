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MATRIZ_MAESTRA" sheetId="2" state="visible" r:id="rId2"/>
    <sheet name="CONSUMO_MATERIALES" sheetId="3" state="visible" r:id="rId3"/>
    <sheet name="COMPOSICION_MARQUILLAS" sheetId="4" state="visible" r:id="rId4"/>
    <sheet name="CONTROL_CONTRAMUESTRAS" sheetId="5" state="visible" r:id="rId5"/>
    <sheet name="CURVA_TALLAS" sheetId="6" state="visible" r:id="rId6"/>
    <sheet name="REPORTES_DINAMICOS" sheetId="7" state="visible" r:id="rId7"/>
  </sheets>
  <definedNames>
    <definedName name="DRESSES">PARAMETROS!$AF$3:$AF$8</definedName>
    <definedName name="OUTWEAR">PARAMETROS!$AG$3:$AG$7</definedName>
    <definedName name="PANTS">PARAMETROS!$AH$3:$AH$7</definedName>
    <definedName name="SKIRTS">PARAMETROS!$AI$3:$AI$6</definedName>
    <definedName name="SWIMWEAR">PARAMETROS!$AJ$3:$AJ$6</definedName>
    <definedName name="TOPS">PARAMETROS!$AK$3:$AK$6</definedName>
    <definedName name="_xlnm._FilterDatabase" localSheetId="1" hidden="1">'MATRIZ_MAESTRA'!$A$1:$AS$1</definedName>
    <definedName name="_xlnm._FilterDatabase" localSheetId="2" hidden="1">'CONSUMO_MATERIALES'!$A$1:$O$1</definedName>
    <definedName name="_xlnm._FilterDatabase" localSheetId="3" hidden="1">'COMPOSICION_MARQUILLAS'!$A$1:$N$1</definedName>
    <definedName name="_xlnm._FilterDatabase" localSheetId="4" hidden="1">'CONTROL_CONTRAMUESTRAS'!$A$1:$R$1</definedName>
    <definedName name="_xlnm._FilterDatabase" localSheetId="5" hidden="1">'CURVA_TALLAS'!$A$1:$N$1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sz val="9"/>
    </font>
    <font>
      <name val="Calibri"/>
      <b val="1"/>
      <color rgb="00FFFFFF"/>
      <sz val="10"/>
    </font>
    <font>
      <name val="Calibri"/>
      <b val="1"/>
      <sz val="9"/>
    </font>
    <font>
      <name val="Calibri"/>
      <b val="1"/>
      <color rgb="00FFFFFF"/>
      <sz val="14"/>
    </font>
    <font>
      <name val="Calibri"/>
      <b val="1"/>
      <color rgb="00003366"/>
      <sz val="12"/>
    </font>
    <font>
      <name val="Calibri"/>
      <b val="1"/>
      <sz val="10"/>
    </font>
    <font>
      <name val="Calibri"/>
      <sz val="10"/>
    </font>
    <font>
      <name val="Calibri"/>
      <b val="1"/>
      <color rgb="00003366"/>
      <sz val="11"/>
    </font>
  </fonts>
  <fills count="1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5D8DC"/>
        <bgColor rgb="00D5D8DC"/>
      </patternFill>
    </fill>
    <fill>
      <patternFill patternType="solid">
        <fgColor rgb="001F4E79"/>
        <bgColor rgb="001F4E79"/>
      </patternFill>
    </fill>
    <fill>
      <patternFill patternType="solid">
        <fgColor rgb="00BF8F00"/>
        <bgColor rgb="00BF8F00"/>
      </patternFill>
    </fill>
    <fill>
      <patternFill patternType="solid">
        <fgColor rgb="00ED7D31"/>
        <bgColor rgb="00ED7D31"/>
      </patternFill>
    </fill>
    <fill>
      <patternFill patternType="solid">
        <fgColor rgb="00C00000"/>
        <bgColor rgb="00C00000"/>
      </patternFill>
    </fill>
    <fill>
      <patternFill patternType="solid">
        <fgColor rgb="0044546A"/>
        <bgColor rgb="0044546A"/>
      </patternFill>
    </fill>
    <fill>
      <patternFill patternType="solid">
        <fgColor rgb="00F2F2F2"/>
        <bgColor rgb="00F2F2F2"/>
      </patternFill>
    </fill>
    <fill>
      <patternFill patternType="solid">
        <fgColor rgb="00003366"/>
        <bgColor rgb="00003366"/>
      </patternFill>
    </fill>
    <fill>
      <patternFill patternType="solid">
        <fgColor rgb="00D9E2F3"/>
        <bgColor rgb="00D9E2F3"/>
      </patternFill>
    </fill>
    <fill>
      <patternFill patternType="solid">
        <fgColor rgb="00BDD7EE"/>
        <bgColor rgb="00BDD7EE"/>
      </patternFill>
    </fill>
    <fill>
      <patternFill patternType="solid">
        <fgColor rgb="00FFE699"/>
        <bgColor rgb="00FFE699"/>
      </patternFill>
    </fill>
    <fill>
      <patternFill patternType="solid">
        <fgColor rgb="00F8CBAD"/>
        <bgColor rgb="00F8CBAD"/>
      </patternFill>
    </fill>
    <fill>
      <patternFill patternType="solid">
        <fgColor rgb="00F4B4C2"/>
        <bgColor rgb="00F4B4C2"/>
      </patternFill>
    </fill>
    <fill>
      <patternFill patternType="solid">
        <fgColor rgb="00D6DCE4"/>
        <bgColor rgb="00D6DCE4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6" fillId="11" borderId="0" pivotButton="0" quotePrefix="0" xfId="0"/>
    <xf numFmtId="0" fontId="7" fillId="0" borderId="1" pivotButton="0" quotePrefix="0" xfId="0"/>
    <xf numFmtId="0" fontId="8" fillId="0" borderId="1" pivotButton="0" quotePrefix="0" xfId="0"/>
    <xf numFmtId="0" fontId="0" fillId="0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12" borderId="1" pivotButton="0" quotePrefix="0" xfId="0"/>
    <xf numFmtId="0" fontId="8" fillId="0" borderId="1" applyAlignment="1" pivotButton="0" quotePrefix="0" xfId="0">
      <alignment horizontal="center" vertical="center"/>
    </xf>
    <xf numFmtId="0" fontId="7" fillId="13" borderId="1" pivotButton="0" quotePrefix="0" xfId="0"/>
    <xf numFmtId="0" fontId="7" fillId="14" borderId="1" pivotButton="0" quotePrefix="0" xfId="0"/>
    <xf numFmtId="0" fontId="7" fillId="15" borderId="1" pivotButton="0" quotePrefix="0" xfId="0"/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9" fillId="11" borderId="0" pivotButton="0" quotePrefix="0" xfId="0"/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5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FFC7CE"/>
          <bgColor rgb="00FFC7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AK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STATUS</t>
        </is>
      </c>
      <c r="B1" s="1" t="inlineStr">
        <is>
          <t>DISEÑADORES CREATIVOS</t>
        </is>
      </c>
      <c r="C1" s="1" t="inlineStr">
        <is>
          <t>DISEÑADORES TÉCNICOS</t>
        </is>
      </c>
      <c r="D1" s="1" t="inlineStr">
        <is>
          <t>TRAZADORES</t>
        </is>
      </c>
      <c r="E1" s="1" t="inlineStr">
        <is>
          <t>MODISTAS</t>
        </is>
      </c>
      <c r="F1" s="1" t="inlineStr">
        <is>
          <t>LINEAS</t>
        </is>
      </c>
      <c r="G1" s="1" t="inlineStr">
        <is>
          <t>TIPOS REF</t>
        </is>
      </c>
      <c r="H1" s="1" t="inlineStr">
        <is>
          <t>TALLAJES</t>
        </is>
      </c>
      <c r="I1" s="1" t="inlineStr">
        <is>
          <t>USOS EN PRENDA</t>
        </is>
      </c>
      <c r="J1" s="1" t="inlineStr">
        <is>
          <t>BASES TEXTILES</t>
        </is>
      </c>
      <c r="K1" s="1" t="inlineStr">
        <is>
          <t>LARGOS</t>
        </is>
      </c>
      <c r="L1" s="1" t="inlineStr">
        <is>
          <t>VEREDICTOS DIR. CREATIVA</t>
        </is>
      </c>
      <c r="M1" s="1" t="inlineStr">
        <is>
          <t>TIPO BORDADO</t>
        </is>
      </c>
      <c r="N1" s="1" t="inlineStr">
        <is>
          <t>TIPO PROCESO EXTERNO</t>
        </is>
      </c>
      <c r="O1" s="1" t="inlineStr">
        <is>
          <t>CATALOGACION</t>
        </is>
      </c>
      <c r="P1" s="1" t="inlineStr">
        <is>
          <t>DROPS</t>
        </is>
      </c>
      <c r="Q1" s="1" t="inlineStr">
        <is>
          <t>PRIORIDADES</t>
        </is>
      </c>
      <c r="R1" s="1" t="inlineStr">
        <is>
          <t>DIFICULTAD</t>
        </is>
      </c>
      <c r="S1" s="1" t="inlineStr">
        <is>
          <t>TIPO TEJIDO</t>
        </is>
      </c>
      <c r="T1" s="1" t="inlineStr">
        <is>
          <t>WOVEN/KNITTED</t>
        </is>
      </c>
      <c r="U1" s="1" t="inlineStr">
        <is>
          <t>TIPO CORTE</t>
        </is>
      </c>
      <c r="V1" s="1" t="inlineStr">
        <is>
          <t>STATUS PROCESO EXT.</t>
        </is>
      </c>
      <c r="W1" s="1" t="inlineStr">
        <is>
          <t>CONFECCION STATUS</t>
        </is>
      </c>
      <c r="X1" s="1" t="inlineStr">
        <is>
          <t>TIPO RECHAZO CALIDAD</t>
        </is>
      </c>
      <c r="Y1" s="1" t="inlineStr">
        <is>
          <t>CLASIFICACION HALLAZGO</t>
        </is>
      </c>
      <c r="Z1" s="1" t="inlineStr">
        <is>
          <t>TIPO EMPAQUE</t>
        </is>
      </c>
      <c r="AA1" s="1" t="inlineStr">
        <is>
          <t>CLOSURE TYPES</t>
        </is>
      </c>
      <c r="AB1" s="1" t="inlineStr">
        <is>
          <t>LINNED</t>
        </is>
      </c>
      <c r="AC1" s="1" t="inlineStr">
        <is>
          <t>SENTIDO SESGO</t>
        </is>
      </c>
      <c r="AD1" s="1" t="inlineStr">
        <is>
          <t>PERMITE GIRAR MOLDE</t>
        </is>
      </c>
      <c r="AF1" s="2" t="inlineStr">
        <is>
          <t>SUBLÍNEAS POR LÍNEA (dropdown dependiente)</t>
        </is>
      </c>
      <c r="AG1" s="3" t="n"/>
      <c r="AH1" s="3" t="n"/>
      <c r="AI1" s="3" t="n"/>
      <c r="AJ1" s="3" t="n"/>
      <c r="AK1" s="4" t="n"/>
    </row>
    <row r="2">
      <c r="A2" s="5" t="inlineStr">
        <is>
          <t>APROBADO</t>
        </is>
      </c>
      <c r="B2" s="5" t="inlineStr">
        <is>
          <t>BURGOS</t>
        </is>
      </c>
      <c r="C2" s="5" t="inlineStr">
        <is>
          <t>CAMILA VILLEGAS</t>
        </is>
      </c>
      <c r="D2" s="5" t="inlineStr">
        <is>
          <t>KELLY MITROVICH</t>
        </is>
      </c>
      <c r="E2" s="5" t="inlineStr">
        <is>
          <t>ADRIANA ESCOBAR</t>
        </is>
      </c>
      <c r="F2" s="5" t="inlineStr">
        <is>
          <t>DRESSES</t>
        </is>
      </c>
      <c r="G2" s="5" t="inlineStr">
        <is>
          <t>DS</t>
        </is>
      </c>
      <c r="H2" s="5" t="inlineStr">
        <is>
          <t>0-2-4-6-8-10-12</t>
        </is>
      </c>
      <c r="I2" s="5" t="inlineStr">
        <is>
          <t>TELA LUCIR</t>
        </is>
      </c>
      <c r="J2" s="5" t="inlineStr">
        <is>
          <t>LINEN</t>
        </is>
      </c>
      <c r="K2" s="5" t="inlineStr">
        <is>
          <t>MAXI 115CM</t>
        </is>
      </c>
      <c r="L2" s="5" t="inlineStr">
        <is>
          <t>APROBADA DIRECTA</t>
        </is>
      </c>
      <c r="M2" s="5" t="inlineStr">
        <is>
          <t>SOBRE PRENDA ARMADA</t>
        </is>
      </c>
      <c r="N2" s="5" t="inlineStr">
        <is>
          <t>LAVANDERIA</t>
        </is>
      </c>
      <c r="O2" s="5" t="inlineStr">
        <is>
          <t>SOLIDO</t>
        </is>
      </c>
      <c r="P2" s="5" t="inlineStr">
        <is>
          <t>A</t>
        </is>
      </c>
      <c r="Q2" s="5" t="inlineStr">
        <is>
          <t>1</t>
        </is>
      </c>
      <c r="R2" s="5" t="inlineStr">
        <is>
          <t>BAJA</t>
        </is>
      </c>
      <c r="S2" s="5" t="inlineStr">
        <is>
          <t>TEJIDO PLANO</t>
        </is>
      </c>
      <c r="T2" s="5" t="inlineStr">
        <is>
          <t>WOVEN</t>
        </is>
      </c>
      <c r="U2" s="5" t="inlineStr">
        <is>
          <t>PRENDA COMPLETA</t>
        </is>
      </c>
      <c r="V2" s="5" t="inlineStr">
        <is>
          <t>PENDIENTE</t>
        </is>
      </c>
      <c r="W2" s="5" t="inlineStr">
        <is>
          <t>EN PROCESO</t>
        </is>
      </c>
      <c r="X2" s="5" t="inlineStr">
        <is>
          <t>MEDIDAS</t>
        </is>
      </c>
      <c r="Y2" s="5" t="inlineStr">
        <is>
          <t>INCONSISTENCIAS</t>
        </is>
      </c>
      <c r="Z2" s="5" t="inlineStr">
        <is>
          <t>CAJA INDIVIDUAL</t>
        </is>
      </c>
      <c r="AA2" s="5" t="inlineStr">
        <is>
          <t>BACK ZIPPER</t>
        </is>
      </c>
      <c r="AB2" s="5" t="inlineStr">
        <is>
          <t>SI</t>
        </is>
      </c>
      <c r="AC2" s="5" t="inlineStr">
        <is>
          <t>AL HILO</t>
        </is>
      </c>
      <c r="AD2" s="5" t="inlineStr">
        <is>
          <t>90°</t>
        </is>
      </c>
      <c r="AF2" s="6" t="inlineStr">
        <is>
          <t>DRESSES</t>
        </is>
      </c>
      <c r="AG2" s="6" t="inlineStr">
        <is>
          <t>OUTWEAR</t>
        </is>
      </c>
      <c r="AH2" s="6" t="inlineStr">
        <is>
          <t>PANTS</t>
        </is>
      </c>
      <c r="AI2" s="6" t="inlineStr">
        <is>
          <t>SKIRTS</t>
        </is>
      </c>
      <c r="AJ2" s="6" t="inlineStr">
        <is>
          <t>SWIMWEAR</t>
        </is>
      </c>
      <c r="AK2" s="6" t="inlineStr">
        <is>
          <t>TOPS</t>
        </is>
      </c>
    </row>
    <row r="3">
      <c r="A3" s="7" t="inlineStr">
        <is>
          <t>APROBADO REPROGRAMACION</t>
        </is>
      </c>
      <c r="B3" s="7" t="inlineStr">
        <is>
          <t>CLAUDIA</t>
        </is>
      </c>
      <c r="C3" s="7" t="inlineStr">
        <is>
          <t>CLAUDIA R</t>
        </is>
      </c>
      <c r="D3" s="7" t="inlineStr">
        <is>
          <t>ANDRES CORTADOR</t>
        </is>
      </c>
      <c r="E3" s="7" t="inlineStr">
        <is>
          <t>AISURY QUINTERO</t>
        </is>
      </c>
      <c r="F3" s="7" t="inlineStr">
        <is>
          <t>OUTWEAR</t>
        </is>
      </c>
      <c r="G3" s="7" t="inlineStr">
        <is>
          <t>OW</t>
        </is>
      </c>
      <c r="H3" s="7" t="inlineStr">
        <is>
          <t>1-2-3-4-5-6</t>
        </is>
      </c>
      <c r="I3" s="7" t="inlineStr">
        <is>
          <t>TELA FORRO</t>
        </is>
      </c>
      <c r="J3" s="7" t="inlineStr">
        <is>
          <t>COTTON</t>
        </is>
      </c>
      <c r="K3" s="7" t="inlineStr">
        <is>
          <t>MIDI 92CM</t>
        </is>
      </c>
      <c r="L3" s="7" t="inlineStr">
        <is>
          <t>APROBADA CON COMENTARIOS</t>
        </is>
      </c>
      <c r="M3" s="7" t="inlineStr">
        <is>
          <t>SEMIELABORADO</t>
        </is>
      </c>
      <c r="N3" s="7" t="inlineStr">
        <is>
          <t>BORDADO</t>
        </is>
      </c>
      <c r="O3" s="7" t="inlineStr">
        <is>
          <t>MODIFICACION DE ARTE</t>
        </is>
      </c>
      <c r="P3" s="7" t="inlineStr">
        <is>
          <t>B</t>
        </is>
      </c>
      <c r="Q3" s="7" t="inlineStr">
        <is>
          <t>2</t>
        </is>
      </c>
      <c r="R3" s="7" t="inlineStr">
        <is>
          <t>INTERMEDIA</t>
        </is>
      </c>
      <c r="S3" s="7" t="inlineStr">
        <is>
          <t>TEJIDO DE PUNTO</t>
        </is>
      </c>
      <c r="T3" s="7" t="inlineStr">
        <is>
          <t>KNITTED</t>
        </is>
      </c>
      <c r="U3" s="7" t="inlineStr">
        <is>
          <t>LABORATORIO</t>
        </is>
      </c>
      <c r="V3" s="7" t="inlineStr">
        <is>
          <t>EN PROCESO</t>
        </is>
      </c>
      <c r="W3" s="7" t="inlineStr">
        <is>
          <t>TERMINADO</t>
        </is>
      </c>
      <c r="X3" s="7" t="inlineStr">
        <is>
          <t>CALIDAD DE CONFECCION</t>
        </is>
      </c>
      <c r="Y3" s="7" t="inlineStr">
        <is>
          <t>FALTA DE INFORMACION</t>
        </is>
      </c>
      <c r="Z3" s="7" t="inlineStr">
        <is>
          <t>BOLSA COLECTIVA</t>
        </is>
      </c>
      <c r="AA3" s="7" t="inlineStr">
        <is>
          <t>BACK BUTTONS</t>
        </is>
      </c>
      <c r="AB3" s="7" t="inlineStr">
        <is>
          <t>NO</t>
        </is>
      </c>
      <c r="AC3" s="7" t="inlineStr">
        <is>
          <t>A TRAVEZ</t>
        </is>
      </c>
      <c r="AD3" s="7" t="inlineStr">
        <is>
          <t>180°</t>
        </is>
      </c>
      <c r="AF3" s="7" t="inlineStr">
        <is>
          <t>MAXI</t>
        </is>
      </c>
      <c r="AG3" s="7" t="inlineStr">
        <is>
          <t>JACKET</t>
        </is>
      </c>
      <c r="AH3" s="7" t="inlineStr">
        <is>
          <t>DRAMATIC PANT</t>
        </is>
      </c>
      <c r="AI3" s="7" t="inlineStr">
        <is>
          <t>MINI</t>
        </is>
      </c>
      <c r="AJ3" s="7" t="inlineStr">
        <is>
          <t>BIKINI TOP</t>
        </is>
      </c>
      <c r="AK3" s="7" t="inlineStr">
        <is>
          <t>CROP TOP</t>
        </is>
      </c>
    </row>
    <row r="4">
      <c r="A4" s="5" t="inlineStr">
        <is>
          <t>CANCELADO</t>
        </is>
      </c>
      <c r="B4" s="5" t="inlineStr">
        <is>
          <t>FER</t>
        </is>
      </c>
      <c r="C4" s="5" t="inlineStr">
        <is>
          <t>CRISTIAN GOMEZ</t>
        </is>
      </c>
      <c r="D4" s="5" t="inlineStr">
        <is>
          <t>FERNANDO TRAZO</t>
        </is>
      </c>
      <c r="E4" s="5" t="inlineStr">
        <is>
          <t>ALEJANDRA ROJAS</t>
        </is>
      </c>
      <c r="F4" s="5" t="inlineStr">
        <is>
          <t>PANTS</t>
        </is>
      </c>
      <c r="G4" s="5" t="inlineStr">
        <is>
          <t>PS</t>
        </is>
      </c>
      <c r="H4" s="5" t="inlineStr">
        <is>
          <t>2-4-6-8-10-12</t>
        </is>
      </c>
      <c r="I4" s="5" t="inlineStr">
        <is>
          <t>FUSIONABLE</t>
        </is>
      </c>
      <c r="J4" s="5" t="inlineStr">
        <is>
          <t>SILK</t>
        </is>
      </c>
      <c r="K4" s="5" t="inlineStr">
        <is>
          <t>MINI 85CM</t>
        </is>
      </c>
      <c r="L4" s="5" t="inlineStr">
        <is>
          <t>RECHAZADA</t>
        </is>
      </c>
      <c r="M4" s="5" t="inlineStr">
        <is>
          <t>AMBOS</t>
        </is>
      </c>
      <c r="N4" s="5" t="inlineStr">
        <is>
          <t>DRAPEADO</t>
        </is>
      </c>
      <c r="O4" s="5" t="inlineStr">
        <is>
          <t>UBICACION EN TRAZO</t>
        </is>
      </c>
      <c r="P4" s="5" t="inlineStr">
        <is>
          <t>C</t>
        </is>
      </c>
      <c r="Q4" s="5" t="inlineStr">
        <is>
          <t>3</t>
        </is>
      </c>
      <c r="R4" s="5" t="inlineStr">
        <is>
          <t>ALTA</t>
        </is>
      </c>
      <c r="S4" s="5" t="inlineStr">
        <is>
          <t>CUERO</t>
        </is>
      </c>
      <c r="U4" s="5" t="inlineStr">
        <is>
          <t>PIEZA</t>
        </is>
      </c>
      <c r="V4" s="5" t="inlineStr">
        <is>
          <t>TERMINADO</t>
        </is>
      </c>
      <c r="W4" s="5" t="inlineStr">
        <is>
          <t>PAUSADO</t>
        </is>
      </c>
      <c r="X4" s="5" t="inlineStr">
        <is>
          <t>COHERENCIA CON FICHA TECNICA</t>
        </is>
      </c>
      <c r="Y4" s="5" t="inlineStr">
        <is>
          <t>FALTANTES</t>
        </is>
      </c>
      <c r="Z4" s="5" t="inlineStr">
        <is>
          <t>CAJA COLECTIVA</t>
        </is>
      </c>
      <c r="AA4" s="5" t="inlineStr">
        <is>
          <t>BACK ZIPPER AND BUTTOM</t>
        </is>
      </c>
      <c r="AB4" s="5" t="inlineStr">
        <is>
          <t>ONLY THE TOP</t>
        </is>
      </c>
      <c r="AC4" s="5" t="inlineStr">
        <is>
          <t>AL SESGO</t>
        </is>
      </c>
      <c r="AD4" s="5" t="inlineStr">
        <is>
          <t>PEINE</t>
        </is>
      </c>
      <c r="AF4" s="7" t="inlineStr">
        <is>
          <t>MIDI</t>
        </is>
      </c>
      <c r="AG4" s="7" t="inlineStr">
        <is>
          <t>COAT</t>
        </is>
      </c>
      <c r="AH4" s="7" t="inlineStr">
        <is>
          <t>CASUAL</t>
        </is>
      </c>
      <c r="AI4" s="7" t="inlineStr">
        <is>
          <t>MIDI</t>
        </is>
      </c>
      <c r="AJ4" s="7" t="inlineStr">
        <is>
          <t>BIKINI BOTTOM</t>
        </is>
      </c>
      <c r="AK4" s="7" t="inlineStr">
        <is>
          <t>BÁSICO</t>
        </is>
      </c>
    </row>
    <row r="5">
      <c r="A5" s="7" t="inlineStr">
        <is>
          <t>CANCELADO CORTADO</t>
        </is>
      </c>
      <c r="B5" s="7" t="inlineStr">
        <is>
          <t>MARGARITA</t>
        </is>
      </c>
      <c r="C5" s="7" t="inlineStr">
        <is>
          <t>DANIELA GARCIA</t>
        </is>
      </c>
      <c r="E5" s="7" t="inlineStr">
        <is>
          <t>CIELO AGUIRRE</t>
        </is>
      </c>
      <c r="F5" s="7" t="inlineStr">
        <is>
          <t>SKIRTS</t>
        </is>
      </c>
      <c r="G5" s="7" t="inlineStr">
        <is>
          <t>SK</t>
        </is>
      </c>
      <c r="H5" s="7" t="inlineStr">
        <is>
          <t>XS-S-M-L-XL</t>
        </is>
      </c>
      <c r="I5" s="7" t="inlineStr">
        <is>
          <t>SESGOS LUCIR</t>
        </is>
      </c>
      <c r="J5" s="7" t="inlineStr">
        <is>
          <t>WOOL</t>
        </is>
      </c>
      <c r="K5" s="7" t="inlineStr">
        <is>
          <t>ANKLE 95CM</t>
        </is>
      </c>
      <c r="M5" s="7" t="inlineStr">
        <is>
          <t>EN PRENDA</t>
        </is>
      </c>
      <c r="N5" s="7" t="inlineStr">
        <is>
          <t>DESCOLADO</t>
        </is>
      </c>
      <c r="O5" s="7" t="inlineStr">
        <is>
          <t>ALL OVER</t>
        </is>
      </c>
      <c r="P5" s="7" t="inlineStr">
        <is>
          <t>D</t>
        </is>
      </c>
      <c r="Q5" s="7" t="inlineStr">
        <is>
          <t>4</t>
        </is>
      </c>
      <c r="R5" s="7" t="inlineStr">
        <is>
          <t>MUY ALTA</t>
        </is>
      </c>
      <c r="S5" s="7" t="inlineStr">
        <is>
          <t>DENIM</t>
        </is>
      </c>
      <c r="U5" s="7" t="inlineStr">
        <is>
          <t>REPOSICION</t>
        </is>
      </c>
      <c r="V5" s="7" t="inlineStr">
        <is>
          <t>RECHAZADO</t>
        </is>
      </c>
      <c r="W5" s="7" t="inlineStr">
        <is>
          <t>CANCELADO</t>
        </is>
      </c>
      <c r="X5" s="7" t="inlineStr">
        <is>
          <t>MATERIA PRIMA</t>
        </is>
      </c>
      <c r="Y5" s="7" t="inlineStr">
        <is>
          <t>CAMBIOS</t>
        </is>
      </c>
      <c r="Z5" s="7" t="inlineStr">
        <is>
          <t>BOLSA INDIVIDUAL</t>
        </is>
      </c>
      <c r="AA5" s="7" t="inlineStr">
        <is>
          <t>SNAPS</t>
        </is>
      </c>
      <c r="AB5" s="7" t="inlineStr">
        <is>
          <t>ONLY THE BOTTOM</t>
        </is>
      </c>
      <c r="AF5" s="7" t="inlineStr">
        <is>
          <t>MINI</t>
        </is>
      </c>
      <c r="AG5" s="7" t="inlineStr">
        <is>
          <t>KIMONO</t>
        </is>
      </c>
      <c r="AH5" s="7" t="inlineStr">
        <is>
          <t>WIDE LEG</t>
        </is>
      </c>
      <c r="AI5" s="7" t="inlineStr">
        <is>
          <t>ANKLE</t>
        </is>
      </c>
      <c r="AJ5" s="7" t="inlineStr">
        <is>
          <t>FULL SUIT</t>
        </is>
      </c>
      <c r="AK5" s="7" t="inlineStr">
        <is>
          <t>BLUSÓN</t>
        </is>
      </c>
    </row>
    <row r="6">
      <c r="A6" s="5" t="inlineStr">
        <is>
          <t>CANCELADO SIN CORTAR</t>
        </is>
      </c>
      <c r="B6" s="5" t="inlineStr">
        <is>
          <t>MARIA BURGOS</t>
        </is>
      </c>
      <c r="C6" s="5" t="inlineStr">
        <is>
          <t>FERNANDO</t>
        </is>
      </c>
      <c r="E6" s="5" t="inlineStr">
        <is>
          <t>DIANA ADARME</t>
        </is>
      </c>
      <c r="F6" s="5" t="inlineStr">
        <is>
          <t>SWIMWEAR</t>
        </is>
      </c>
      <c r="G6" s="5" t="inlineStr">
        <is>
          <t>SW</t>
        </is>
      </c>
      <c r="I6" s="5" t="inlineStr">
        <is>
          <t>SESGOS FORRO</t>
        </is>
      </c>
      <c r="J6" s="5" t="inlineStr">
        <is>
          <t>LYCRA</t>
        </is>
      </c>
      <c r="K6" s="5" t="inlineStr">
        <is>
          <t>FLATS 112CM</t>
        </is>
      </c>
      <c r="N6" s="5" t="inlineStr">
        <is>
          <t>TINTORERIA</t>
        </is>
      </c>
      <c r="O6" s="5" t="inlineStr">
        <is>
          <t>ALL OVER CON SENTIDO</t>
        </is>
      </c>
      <c r="P6" s="5" t="inlineStr">
        <is>
          <t>E</t>
        </is>
      </c>
      <c r="Q6" s="5" t="inlineStr">
        <is>
          <t>5</t>
        </is>
      </c>
      <c r="S6" s="5" t="inlineStr">
        <is>
          <t>GASA</t>
        </is>
      </c>
      <c r="U6" s="5" t="inlineStr">
        <is>
          <t>REPOSICION CONTRAMUESTRA</t>
        </is>
      </c>
      <c r="W6" s="5" t="inlineStr">
        <is>
          <t>RECHAZADO</t>
        </is>
      </c>
      <c r="X6" s="5" t="inlineStr">
        <is>
          <t>INSUMOS</t>
        </is>
      </c>
      <c r="Y6" s="5" t="inlineStr">
        <is>
          <t>FALTA DE ANALISIS</t>
        </is>
      </c>
      <c r="Z6" s="5" t="inlineStr">
        <is>
          <t>MARQUILLA SATINADA FORRADA</t>
        </is>
      </c>
      <c r="AA6" s="5" t="inlineStr">
        <is>
          <t>WITH SASH</t>
        </is>
      </c>
      <c r="AB6" s="5" t="inlineStr">
        <is>
          <t>N/A</t>
        </is>
      </c>
      <c r="AF6" s="7" t="inlineStr">
        <is>
          <t>ANKLE</t>
        </is>
      </c>
      <c r="AG6" s="7" t="inlineStr">
        <is>
          <t>BOLERO</t>
        </is>
      </c>
      <c r="AH6" s="7" t="inlineStr">
        <is>
          <t>ANKLE</t>
        </is>
      </c>
      <c r="AI6" s="7" t="inlineStr">
        <is>
          <t>LARGA</t>
        </is>
      </c>
      <c r="AJ6" s="7" t="inlineStr">
        <is>
          <t>COVER UP</t>
        </is>
      </c>
      <c r="AK6" s="7" t="inlineStr">
        <is>
          <t>TÚNICA</t>
        </is>
      </c>
    </row>
    <row r="7">
      <c r="A7" s="7" t="inlineStr">
        <is>
          <t>EN PROCESO</t>
        </is>
      </c>
      <c r="B7" s="7" t="inlineStr">
        <is>
          <t>MARIA DEL MAR</t>
        </is>
      </c>
      <c r="C7" s="7" t="inlineStr">
        <is>
          <t>KAROLINE</t>
        </is>
      </c>
      <c r="E7" s="7" t="inlineStr">
        <is>
          <t>ENEIDA MACA</t>
        </is>
      </c>
      <c r="F7" s="7" t="inlineStr">
        <is>
          <t>TOPS</t>
        </is>
      </c>
      <c r="G7" s="7" t="inlineStr">
        <is>
          <t>TP</t>
        </is>
      </c>
      <c r="I7" s="7" t="inlineStr">
        <is>
          <t>SESGOS FUSIONABLE</t>
        </is>
      </c>
      <c r="J7" s="7" t="inlineStr">
        <is>
          <t>LYCRA VITA</t>
        </is>
      </c>
      <c r="K7" s="7" t="inlineStr">
        <is>
          <t>KIMONO 100 CM</t>
        </is>
      </c>
      <c r="N7" s="7" t="inlineStr">
        <is>
          <t>MONTAJE MANIQUI</t>
        </is>
      </c>
      <c r="O7" s="7" t="inlineStr">
        <is>
          <t>ALL OVER CON ORIENTACION</t>
        </is>
      </c>
      <c r="P7" s="7" t="inlineStr">
        <is>
          <t>F</t>
        </is>
      </c>
      <c r="Q7" s="7" t="inlineStr">
        <is>
          <t>6</t>
        </is>
      </c>
      <c r="X7" s="7" t="inlineStr">
        <is>
          <t>OTRO</t>
        </is>
      </c>
      <c r="Y7" s="7" t="inlineStr">
        <is>
          <t>OTROS</t>
        </is>
      </c>
      <c r="AA7" s="7" t="inlineStr">
        <is>
          <t>N/A</t>
        </is>
      </c>
      <c r="AF7" s="7" t="inlineStr">
        <is>
          <t>KIMONO</t>
        </is>
      </c>
      <c r="AG7" s="7" t="inlineStr">
        <is>
          <t>CAPE</t>
        </is>
      </c>
      <c r="AH7" s="7" t="inlineStr">
        <is>
          <t>JOGGER</t>
        </is>
      </c>
    </row>
    <row r="8">
      <c r="A8" s="5" t="inlineStr">
        <is>
          <t>PAUSADO</t>
        </is>
      </c>
      <c r="B8" s="5" t="inlineStr">
        <is>
          <t>OSMAN</t>
        </is>
      </c>
      <c r="C8" s="5" t="inlineStr">
        <is>
          <t>KELLY M.</t>
        </is>
      </c>
      <c r="E8" s="5" t="inlineStr">
        <is>
          <t>FANNY GOMEZ</t>
        </is>
      </c>
      <c r="I8" s="5" t="inlineStr">
        <is>
          <t>ENTRETELA</t>
        </is>
      </c>
      <c r="J8" s="5" t="inlineStr">
        <is>
          <t>LYCRA BAHIA</t>
        </is>
      </c>
      <c r="P8" s="5" t="inlineStr">
        <is>
          <t>G</t>
        </is>
      </c>
      <c r="Q8" s="5" t="inlineStr">
        <is>
          <t>7</t>
        </is>
      </c>
      <c r="AA8" s="5" t="inlineStr">
        <is>
          <t>SIN CIERRE</t>
        </is>
      </c>
      <c r="AF8" s="7" t="inlineStr">
        <is>
          <t>CAPE</t>
        </is>
      </c>
    </row>
    <row r="9">
      <c r="A9" s="7" t="inlineStr">
        <is>
          <t>TERMINADO</t>
        </is>
      </c>
      <c r="B9" s="7" t="inlineStr">
        <is>
          <t>YAMILET</t>
        </is>
      </c>
      <c r="C9" s="7" t="inlineStr">
        <is>
          <t>LINA DELGADO</t>
        </is>
      </c>
      <c r="E9" s="7" t="inlineStr">
        <is>
          <t>ISABEL VALENCIA</t>
        </is>
      </c>
      <c r="I9" s="7" t="inlineStr">
        <is>
          <t>CINTA</t>
        </is>
      </c>
      <c r="J9" s="7" t="inlineStr">
        <is>
          <t>CREPE DE CHINE</t>
        </is>
      </c>
      <c r="P9" s="7" t="inlineStr">
        <is>
          <t>H</t>
        </is>
      </c>
      <c r="Q9" s="7" t="inlineStr">
        <is>
          <t>8</t>
        </is>
      </c>
    </row>
    <row r="10">
      <c r="A10" s="5" t="inlineStr">
        <is>
          <t>CANCELADO POR COMERCIAL</t>
        </is>
      </c>
      <c r="I10" s="5" t="inlineStr">
        <is>
          <t>RESORTE</t>
        </is>
      </c>
      <c r="J10" s="5" t="inlineStr">
        <is>
          <t>CREPE DE SEDA</t>
        </is>
      </c>
      <c r="P10" s="5" t="inlineStr">
        <is>
          <t>I</t>
        </is>
      </c>
      <c r="Q10" s="5" t="inlineStr">
        <is>
          <t>9</t>
        </is>
      </c>
    </row>
    <row r="11">
      <c r="A11" s="7" t="inlineStr">
        <is>
          <t>CANCELADO PAQUETE COMPLETO</t>
        </is>
      </c>
      <c r="I11" s="7" t="inlineStr">
        <is>
          <t>HILO RESORTE</t>
        </is>
      </c>
      <c r="J11" s="7" t="inlineStr">
        <is>
          <t>COTTON JACQUARD</t>
        </is>
      </c>
      <c r="P11" s="7" t="inlineStr">
        <is>
          <t>J</t>
        </is>
      </c>
      <c r="Q11" s="7" t="inlineStr">
        <is>
          <t>10</t>
        </is>
      </c>
    </row>
    <row r="12">
      <c r="I12" s="5" t="inlineStr">
        <is>
          <t>CIERRE</t>
        </is>
      </c>
      <c r="J12" s="5" t="inlineStr">
        <is>
          <t>LEATHER</t>
        </is>
      </c>
    </row>
    <row r="13">
      <c r="I13" s="7" t="inlineStr">
        <is>
          <t>ARGOLIA</t>
        </is>
      </c>
      <c r="J13" s="7" t="inlineStr">
        <is>
          <t>LIGHT LINEN</t>
        </is>
      </c>
    </row>
    <row r="14">
      <c r="I14" s="5" t="inlineStr">
        <is>
          <t>BOTON</t>
        </is>
      </c>
      <c r="J14" s="5" t="inlineStr">
        <is>
          <t>VISCOSE</t>
        </is>
      </c>
    </row>
    <row r="15">
      <c r="J15" s="7" t="inlineStr">
        <is>
          <t>POLYAMIDE</t>
        </is>
      </c>
    </row>
    <row r="16">
      <c r="J16" s="5" t="inlineStr">
        <is>
          <t>POLYESTER</t>
        </is>
      </c>
    </row>
    <row r="17">
      <c r="J17" s="7" t="inlineStr">
        <is>
          <t>TAFETA SEDA</t>
        </is>
      </c>
    </row>
    <row r="18">
      <c r="J18" s="5" t="inlineStr">
        <is>
          <t>DUCHESS SATIN</t>
        </is>
      </c>
    </row>
  </sheetData>
  <mergeCells count="1">
    <mergeCell ref="AF1:A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AS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4" customWidth="1" min="4" max="4"/>
    <col width="13" customWidth="1" min="5" max="5"/>
    <col width="13" customWidth="1" min="6" max="6"/>
    <col width="15.2" customWidth="1" min="7" max="7"/>
    <col width="13" customWidth="1" min="8" max="8"/>
    <col width="16.3" customWidth="1" min="9" max="9"/>
    <col width="13" customWidth="1" min="10" max="10"/>
    <col width="18.5" customWidth="1" min="11" max="11"/>
    <col width="16.3" customWidth="1" min="12" max="12"/>
    <col width="24" customWidth="1" min="13" max="13"/>
    <col width="21.8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18.5" customWidth="1" min="22" max="22"/>
    <col width="16.3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2.9" customWidth="1" min="29" max="29"/>
    <col width="24" customWidth="1" min="30" max="30"/>
    <col width="24" customWidth="1" min="31" max="31"/>
    <col width="24" customWidth="1" min="32" max="32"/>
    <col width="24" customWidth="1" min="33" max="33"/>
    <col width="17.4" customWidth="1" min="34" max="34"/>
    <col width="24" customWidth="1" min="35" max="35"/>
    <col width="24" customWidth="1" min="36" max="36"/>
    <col width="20.7" customWidth="1" min="37" max="37"/>
    <col width="24" customWidth="1" min="38" max="38"/>
    <col width="24" customWidth="1" min="39" max="39"/>
    <col width="24" customWidth="1" min="40" max="40"/>
    <col width="21.8" customWidth="1" min="41" max="41"/>
    <col width="24" customWidth="1" min="42" max="42"/>
    <col width="24" customWidth="1" min="43" max="43"/>
    <col width="24" customWidth="1" min="44" max="44"/>
    <col width="24" customWidth="1" min="45" max="45"/>
  </cols>
  <sheetData>
    <row r="1">
      <c r="A1" s="6" t="inlineStr">
        <is>
          <t>ID_Ref</t>
        </is>
      </c>
      <c r="B1" s="6" t="inlineStr">
        <is>
          <t>Cod_MD</t>
        </is>
      </c>
      <c r="C1" s="6" t="inlineStr">
        <is>
          <t>Cod_PT</t>
        </is>
      </c>
      <c r="D1" s="6" t="inlineStr">
        <is>
          <t>Nombre_Referencia</t>
        </is>
      </c>
      <c r="E1" s="6" t="inlineStr">
        <is>
          <t>Color</t>
        </is>
      </c>
      <c r="F1" s="6" t="inlineStr">
        <is>
          <t>Cod_Color</t>
        </is>
      </c>
      <c r="G1" s="6" t="inlineStr">
        <is>
          <t>Capsula/Drop</t>
        </is>
      </c>
      <c r="H1" s="6" t="inlineStr">
        <is>
          <t>Linea</t>
        </is>
      </c>
      <c r="I1" s="6" t="inlineStr">
        <is>
          <t>Subl_x_nea</t>
        </is>
      </c>
      <c r="J1" s="6" t="inlineStr">
        <is>
          <t>Tipo_Ref</t>
        </is>
      </c>
      <c r="K1" s="6" t="inlineStr">
        <is>
          <t>Sistema_Tallaje</t>
        </is>
      </c>
      <c r="L1" s="6" t="inlineStr">
        <is>
          <t>Largo</t>
        </is>
      </c>
      <c r="M1" s="6" t="inlineStr">
        <is>
          <t>Closure</t>
        </is>
      </c>
      <c r="N1" s="6" t="inlineStr">
        <is>
          <t>Basado_En (Ref PT)</t>
        </is>
      </c>
      <c r="O1" s="6" t="inlineStr">
        <is>
          <t>Dise_x_ador_Creativo</t>
        </is>
      </c>
      <c r="P1" s="6" t="inlineStr">
        <is>
          <t>Fecha_Asignacion_Creativo</t>
        </is>
      </c>
      <c r="Q1" s="6" t="inlineStr">
        <is>
          <t>Cambio_Molderia (SI/NO)</t>
        </is>
      </c>
      <c r="R1" s="6" t="inlineStr">
        <is>
          <t>Obs_Creativo</t>
        </is>
      </c>
      <c r="S1" s="6" t="inlineStr">
        <is>
          <t>Fecha_Inicio_Molderia_Diseno</t>
        </is>
      </c>
      <c r="T1" s="6" t="inlineStr">
        <is>
          <t>Fecha_Fin_Molderia_Diseno</t>
        </is>
      </c>
      <c r="U1" s="6" t="inlineStr">
        <is>
          <t>Comentarios_Molderia_Diseno</t>
        </is>
      </c>
      <c r="V1" s="8" t="inlineStr">
        <is>
          <t>Modista_Muestra</t>
        </is>
      </c>
      <c r="W1" s="8" t="inlineStr">
        <is>
          <t>Status_Taller</t>
        </is>
      </c>
      <c r="X1" s="8" t="inlineStr">
        <is>
          <t>Fotos_Internas (SI/NO)</t>
        </is>
      </c>
      <c r="Y1" s="8" t="inlineStr">
        <is>
          <t>Requiere_Muestra (SI/NO)</t>
        </is>
      </c>
      <c r="Z1" s="9" t="inlineStr">
        <is>
          <t>Medicion_Fase_1 (Fecha)</t>
        </is>
      </c>
      <c r="AA1" s="9" t="inlineStr">
        <is>
          <t>Comentarios_Medicion_1</t>
        </is>
      </c>
      <c r="AB1" s="9" t="inlineStr">
        <is>
          <t>Veredicto_Dir_Creativa</t>
        </is>
      </c>
      <c r="AC1" s="9" t="inlineStr">
        <is>
          <t>Dise_x_ador_Tecnico</t>
        </is>
      </c>
      <c r="AD1" s="9" t="inlineStr">
        <is>
          <t>Dise_x_ador_Contramuestra</t>
        </is>
      </c>
      <c r="AE1" s="9" t="inlineStr">
        <is>
          <t>Fecha_Inicio_Molderia_Ing</t>
        </is>
      </c>
      <c r="AF1" s="9" t="inlineStr">
        <is>
          <t>Fecha_Fin_Molderia_Ing</t>
        </is>
      </c>
      <c r="AG1" s="9" t="inlineStr">
        <is>
          <t>Comentarios_Molderia_Ing</t>
        </is>
      </c>
      <c r="AH1" s="10" t="inlineStr">
        <is>
          <t>Especificadora</t>
        </is>
      </c>
      <c r="AI1" s="10" t="inlineStr">
        <is>
          <t>Fecha_Inicio_Especificacion</t>
        </is>
      </c>
      <c r="AJ1" s="10" t="inlineStr">
        <is>
          <t>Fecha_Fin_Especificacion</t>
        </is>
      </c>
      <c r="AK1" s="11" t="inlineStr">
        <is>
          <t>Status_Referencia</t>
        </is>
      </c>
      <c r="AL1" s="11" t="inlineStr">
        <is>
          <t>Entregable_Creativo_OK?</t>
        </is>
      </c>
      <c r="AM1" s="11" t="inlineStr">
        <is>
          <t>Entregable_Tecnico_OK?</t>
        </is>
      </c>
      <c r="AN1" s="11" t="inlineStr">
        <is>
          <t>Entregable_Trazador_OK?</t>
        </is>
      </c>
      <c r="AO1" s="11" t="inlineStr">
        <is>
          <t>Envio_Mod_Arte_OK?</t>
        </is>
      </c>
      <c r="AP1" s="11" t="inlineStr">
        <is>
          <t>Fecha_Liberacion_Diseno_a_Ing</t>
        </is>
      </c>
      <c r="AQ1" s="11" t="inlineStr">
        <is>
          <t>Fecha_Liberacion_Ing_a_Prod</t>
        </is>
      </c>
      <c r="AR1" s="11" t="inlineStr">
        <is>
          <t>Temperatura (Fase Actual)</t>
        </is>
      </c>
      <c r="AS1" s="11" t="inlineStr">
        <is>
          <t>Observaciones_Generales</t>
        </is>
      </c>
    </row>
    <row r="2">
      <c r="A2" s="12" t="n">
        <v>1</v>
      </c>
      <c r="B2" s="12" t="inlineStr">
        <is>
          <t>MD-02801</t>
        </is>
      </c>
      <c r="C2" s="12" t="inlineStr">
        <is>
          <t>PT-02801</t>
        </is>
      </c>
      <c r="D2" s="12" t="inlineStr">
        <is>
          <t>Femininity Dramatic Dress</t>
        </is>
      </c>
      <c r="E2" s="12" t="inlineStr">
        <is>
          <t>Ecru</t>
        </is>
      </c>
      <c r="F2" s="12" t="inlineStr">
        <is>
          <t>COL-101</t>
        </is>
      </c>
      <c r="G2" s="12" t="inlineStr">
        <is>
          <t>A</t>
        </is>
      </c>
      <c r="H2" s="12" t="inlineStr">
        <is>
          <t>DRESSES</t>
        </is>
      </c>
      <c r="I2" s="12" t="inlineStr">
        <is>
          <t>MAXI</t>
        </is>
      </c>
      <c r="J2" s="12" t="inlineStr">
        <is>
          <t>DS</t>
        </is>
      </c>
      <c r="K2" s="12" t="inlineStr">
        <is>
          <t>XS-S-M-L-XL</t>
        </is>
      </c>
      <c r="L2" s="12" t="inlineStr">
        <is>
          <t>MAXI 115CM</t>
        </is>
      </c>
      <c r="M2" s="12" t="inlineStr">
        <is>
          <t>BACK ZIPPER</t>
        </is>
      </c>
      <c r="N2" s="12" t="inlineStr">
        <is>
          <t>PT-03402</t>
        </is>
      </c>
      <c r="O2" s="12" t="inlineStr">
        <is>
          <t>CLAUDIA</t>
        </is>
      </c>
      <c r="P2" s="12" t="inlineStr">
        <is>
          <t>2026-04-15</t>
        </is>
      </c>
      <c r="Q2" s="12" t="b">
        <v>1</v>
      </c>
      <c r="R2" s="12" t="inlineStr">
        <is>
          <t>Estimacion inicial segun referente</t>
        </is>
      </c>
      <c r="S2" s="12" t="inlineStr">
        <is>
          <t>2026-04-16</t>
        </is>
      </c>
      <c r="T2" s="12" t="inlineStr">
        <is>
          <t>2026-04-18</t>
        </is>
      </c>
      <c r="U2" s="12" t="inlineStr">
        <is>
          <t>Molderia base OK en talla XS</t>
        </is>
      </c>
      <c r="V2" s="12" t="inlineStr">
        <is>
          <t>ISABEL VALENCIA</t>
        </is>
      </c>
      <c r="W2" s="12" t="inlineStr">
        <is>
          <t>TERMINADO</t>
        </is>
      </c>
      <c r="X2" s="12" t="b">
        <v>1</v>
      </c>
      <c r="Y2" s="12" t="b">
        <v>1</v>
      </c>
      <c r="Z2" s="12" t="inlineStr">
        <is>
          <t>2026-04-20</t>
        </is>
      </c>
      <c r="AA2" s="12" t="inlineStr">
        <is>
          <t>Aprobado de inmediato</t>
        </is>
      </c>
      <c r="AB2" s="12" t="inlineStr">
        <is>
          <t>APROBADA DIRECTA</t>
        </is>
      </c>
      <c r="AC2" s="12" t="inlineStr">
        <is>
          <t>DANIELA GARCIA</t>
        </is>
      </c>
      <c r="AD2" s="12" t="inlineStr">
        <is>
          <t>DANIELA GARCIA</t>
        </is>
      </c>
      <c r="AE2" s="12" t="inlineStr">
        <is>
          <t>2026-04-22</t>
        </is>
      </c>
      <c r="AF2" s="12" t="inlineStr">
        <is>
          <t>2026-04-25</t>
        </is>
      </c>
      <c r="AG2" s="12" t="inlineStr">
        <is>
          <t>Escalado OK</t>
        </is>
      </c>
      <c r="AH2" s="12" t="inlineStr">
        <is>
          <t>GABRIELA LOPEZ</t>
        </is>
      </c>
      <c r="AI2" s="12" t="inlineStr">
        <is>
          <t>2026-04-26</t>
        </is>
      </c>
      <c r="AJ2" s="12" t="inlineStr">
        <is>
          <t>2026-04-28</t>
        </is>
      </c>
      <c r="AK2" s="12" t="inlineStr">
        <is>
          <t>APROBADO</t>
        </is>
      </c>
      <c r="AL2" s="12" t="inlineStr">
        <is>
          <t>OK</t>
        </is>
      </c>
      <c r="AM2" s="12" t="inlineStr">
        <is>
          <t>OK</t>
        </is>
      </c>
      <c r="AN2" s="12" t="inlineStr">
        <is>
          <t>OK</t>
        </is>
      </c>
      <c r="AO2" s="12" t="inlineStr">
        <is>
          <t>N/A</t>
        </is>
      </c>
      <c r="AP2" s="12" t="inlineStr">
        <is>
          <t>2026-04-21</t>
        </is>
      </c>
      <c r="AQ2" s="12" t="inlineStr">
        <is>
          <t>2026-04-28</t>
        </is>
      </c>
      <c r="AR2" s="12" t="inlineStr">
        <is>
          <t>ROJO - INDUSTRIALIZACION</t>
        </is>
      </c>
      <c r="AS2" s="12" t="inlineStr">
        <is>
          <t>Referencia completada</t>
        </is>
      </c>
    </row>
    <row r="3">
      <c r="A3" s="7" t="n">
        <v>2</v>
      </c>
      <c r="B3" s="7" t="inlineStr">
        <is>
          <t>MD-02802</t>
        </is>
      </c>
      <c r="C3" s="7" t="inlineStr">
        <is>
          <t>PT-02803</t>
        </is>
      </c>
      <c r="D3" s="7" t="inlineStr">
        <is>
          <t>Sunset Vacation Panty</t>
        </is>
      </c>
      <c r="E3" s="7" t="inlineStr">
        <is>
          <t>Sand</t>
        </is>
      </c>
      <c r="F3" s="7" t="inlineStr">
        <is>
          <t>COL-102</t>
        </is>
      </c>
      <c r="G3" s="7" t="inlineStr">
        <is>
          <t>B</t>
        </is>
      </c>
      <c r="H3" s="7" t="inlineStr">
        <is>
          <t>PANTS</t>
        </is>
      </c>
      <c r="I3" s="7" t="inlineStr">
        <is>
          <t>DRAMATIC PANT</t>
        </is>
      </c>
      <c r="J3" s="7" t="inlineStr">
        <is>
          <t>PS</t>
        </is>
      </c>
      <c r="K3" s="7" t="inlineStr">
        <is>
          <t>0-2-4-6-8-10-12</t>
        </is>
      </c>
      <c r="L3" s="7" t="inlineStr">
        <is>
          <t>ANKLE 95CM</t>
        </is>
      </c>
      <c r="M3" s="7" t="inlineStr">
        <is>
          <t>BACK ZIPPER AND BUTTOM</t>
        </is>
      </c>
      <c r="N3" s="7" t="inlineStr"/>
      <c r="O3" s="7" t="inlineStr">
        <is>
          <t>MARIA BURGOS</t>
        </is>
      </c>
      <c r="P3" s="7" t="inlineStr">
        <is>
          <t>2026-04-18</t>
        </is>
      </c>
      <c r="Q3" s="7" t="b">
        <v>1</v>
      </c>
      <c r="R3" s="7" t="inlineStr">
        <is>
          <t>Cambio de largo +2cm</t>
        </is>
      </c>
      <c r="S3" s="7" t="inlineStr">
        <is>
          <t>2026-04-19</t>
        </is>
      </c>
      <c r="T3" s="7" t="inlineStr">
        <is>
          <t>2026-04-22</t>
        </is>
      </c>
      <c r="U3" s="7" t="inlineStr">
        <is>
          <t>Correccion de tiro delantero</t>
        </is>
      </c>
      <c r="V3" s="7" t="inlineStr">
        <is>
          <t>FANNY GOMEZ</t>
        </is>
      </c>
      <c r="W3" s="7" t="inlineStr">
        <is>
          <t>EN PROCESO</t>
        </is>
      </c>
      <c r="X3" s="7" t="b">
        <v>1</v>
      </c>
      <c r="Y3" s="7" t="b">
        <v>1</v>
      </c>
      <c r="Z3" s="7" t="inlineStr">
        <is>
          <t>2026-04-24</t>
        </is>
      </c>
      <c r="AA3" s="7" t="inlineStr">
        <is>
          <t>Ajustar pinza trasera</t>
        </is>
      </c>
      <c r="AB3" s="7" t="inlineStr">
        <is>
          <t>APROBADA CON COMENTARIOS</t>
        </is>
      </c>
      <c r="AC3" s="7" t="inlineStr">
        <is>
          <t>CRISTIAN GOMEZ</t>
        </is>
      </c>
      <c r="AD3" s="7" t="inlineStr">
        <is>
          <t>CRISTIAN GOMEZ</t>
        </is>
      </c>
      <c r="AE3" s="7" t="inlineStr">
        <is>
          <t>2026-04-26</t>
        </is>
      </c>
      <c r="AF3" s="7" t="inlineStr"/>
      <c r="AG3" s="7" t="inlineStr">
        <is>
          <t>Escalado en proceso - talla 12 compleja</t>
        </is>
      </c>
      <c r="AH3" s="7" t="inlineStr"/>
      <c r="AI3" s="7" t="inlineStr"/>
      <c r="AJ3" s="7" t="inlineStr"/>
      <c r="AK3" s="7" t="inlineStr">
        <is>
          <t>EN PROCESO</t>
        </is>
      </c>
      <c r="AL3" s="7" t="inlineStr">
        <is>
          <t>OK</t>
        </is>
      </c>
      <c r="AM3" s="7" t="inlineStr">
        <is>
          <t>EN PROCESO</t>
        </is>
      </c>
      <c r="AN3" s="7" t="inlineStr"/>
      <c r="AO3" s="7" t="inlineStr"/>
      <c r="AP3" s="7" t="inlineStr">
        <is>
          <t>2026-04-25</t>
        </is>
      </c>
      <c r="AQ3" s="7" t="inlineStr"/>
      <c r="AR3" s="7" t="inlineStr">
        <is>
          <t>NARANJA - VALIDACION TECNICA</t>
        </is>
      </c>
      <c r="AS3" s="7" t="inlineStr">
        <is>
          <t>Escalado pendiente talla 12</t>
        </is>
      </c>
    </row>
    <row r="4">
      <c r="A4" s="12" t="n">
        <v>3</v>
      </c>
      <c r="B4" s="12" t="inlineStr">
        <is>
          <t>MD-02815</t>
        </is>
      </c>
      <c r="C4" s="12" t="inlineStr">
        <is>
          <t>PT-02804</t>
        </is>
      </c>
      <c r="D4" s="12" t="inlineStr">
        <is>
          <t>Femininity Dramatic Dress V2</t>
        </is>
      </c>
      <c r="E4" s="12" t="inlineStr">
        <is>
          <t>Vanila</t>
        </is>
      </c>
      <c r="F4" s="12" t="inlineStr">
        <is>
          <t>COL-1591</t>
        </is>
      </c>
      <c r="G4" s="12" t="inlineStr">
        <is>
          <t>C</t>
        </is>
      </c>
      <c r="H4" s="12" t="inlineStr">
        <is>
          <t>DRESSES</t>
        </is>
      </c>
      <c r="I4" s="12" t="inlineStr">
        <is>
          <t>MIDI</t>
        </is>
      </c>
      <c r="J4" s="12" t="inlineStr">
        <is>
          <t>DS</t>
        </is>
      </c>
      <c r="K4" s="12" t="inlineStr">
        <is>
          <t>XS-S-M-L-XL</t>
        </is>
      </c>
      <c r="L4" s="12" t="inlineStr">
        <is>
          <t>MINI 85CM</t>
        </is>
      </c>
      <c r="M4" s="12" t="inlineStr">
        <is>
          <t>SNAPS</t>
        </is>
      </c>
      <c r="N4" s="12" t="inlineStr">
        <is>
          <t>PT-02801</t>
        </is>
      </c>
      <c r="O4" s="12" t="inlineStr">
        <is>
          <t>FER</t>
        </is>
      </c>
      <c r="P4" s="12" t="inlineStr">
        <is>
          <t>2026-05-02</t>
        </is>
      </c>
      <c r="Q4" s="12" t="b">
        <v>1</v>
      </c>
      <c r="R4" s="12" t="inlineStr">
        <is>
          <t>Nuevo cuello drapeado y mangas</t>
        </is>
      </c>
      <c r="S4" s="12" t="inlineStr">
        <is>
          <t>2026-05-03</t>
        </is>
      </c>
      <c r="T4" s="12" t="inlineStr">
        <is>
          <t>2026-05-06</t>
        </is>
      </c>
      <c r="U4" s="12" t="inlineStr">
        <is>
          <t>Nuevo patron cuello drapeado</t>
        </is>
      </c>
      <c r="V4" s="12" t="inlineStr">
        <is>
          <t>ALEJANDRA ROJAS</t>
        </is>
      </c>
      <c r="W4" s="12" t="inlineStr">
        <is>
          <t>PAUSADO</t>
        </is>
      </c>
      <c r="X4" s="12" t="b">
        <v>0</v>
      </c>
      <c r="Y4" s="12" t="b">
        <v>1</v>
      </c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>
        <is>
          <t>EN PROCESO</t>
        </is>
      </c>
      <c r="AL4" s="12" t="inlineStr">
        <is>
          <t>EN PROCESO</t>
        </is>
      </c>
      <c r="AM4" s="12" t="inlineStr"/>
      <c r="AN4" s="12" t="inlineStr"/>
      <c r="AO4" s="12" t="inlineStr"/>
      <c r="AP4" s="12" t="inlineStr"/>
      <c r="AQ4" s="12" t="inlineStr"/>
      <c r="AR4" s="12" t="inlineStr">
        <is>
          <t>AMBAR - LABORATORIO</t>
        </is>
      </c>
      <c r="AS4" s="12" t="inlineStr">
        <is>
          <t>Tela en cuarentena de calidad. Esperando corte.</t>
        </is>
      </c>
    </row>
    <row r="5">
      <c r="A5" s="7" t="n">
        <v>4</v>
      </c>
      <c r="B5" s="7" t="inlineStr">
        <is>
          <t>MD-02824</t>
        </is>
      </c>
      <c r="C5" s="7" t="inlineStr">
        <is>
          <t>PT-02805</t>
        </is>
      </c>
      <c r="D5" s="7" t="inlineStr">
        <is>
          <t>Ocean Breeze Kimono</t>
        </is>
      </c>
      <c r="E5" s="7" t="inlineStr">
        <is>
          <t>Azure</t>
        </is>
      </c>
      <c r="F5" s="7" t="inlineStr">
        <is>
          <t>COL-201</t>
        </is>
      </c>
      <c r="G5" s="7" t="inlineStr">
        <is>
          <t>A</t>
        </is>
      </c>
      <c r="H5" s="7" t="inlineStr">
        <is>
          <t>OUTWEAR</t>
        </is>
      </c>
      <c r="I5" s="7" t="inlineStr">
        <is>
          <t>KIMONO</t>
        </is>
      </c>
      <c r="J5" s="7" t="inlineStr">
        <is>
          <t>OW</t>
        </is>
      </c>
      <c r="K5" s="7" t="inlineStr">
        <is>
          <t>XS-S-M-L-XL</t>
        </is>
      </c>
      <c r="L5" s="7" t="inlineStr">
        <is>
          <t>KIMONO 100 CM</t>
        </is>
      </c>
      <c r="M5" s="7" t="inlineStr">
        <is>
          <t>WITH SASH</t>
        </is>
      </c>
      <c r="N5" s="7" t="inlineStr"/>
      <c r="O5" s="7" t="inlineStr">
        <is>
          <t>OSMAN</t>
        </is>
      </c>
      <c r="P5" s="7" t="inlineStr">
        <is>
          <t>2026-05-05</t>
        </is>
      </c>
      <c r="Q5" s="7" t="b">
        <v>1</v>
      </c>
      <c r="R5" s="7" t="inlineStr">
        <is>
          <t>Coleccion nueva, sin referente</t>
        </is>
      </c>
      <c r="S5" s="7" t="inlineStr">
        <is>
          <t>2026-05-06</t>
        </is>
      </c>
      <c r="T5" s="7" t="inlineStr"/>
      <c r="U5" s="7" t="inlineStr">
        <is>
          <t>Molderia base en desarrollo</t>
        </is>
      </c>
      <c r="V5" s="7" t="inlineStr"/>
      <c r="W5" s="7" t="inlineStr"/>
      <c r="X5" s="7" t="b">
        <v>0</v>
      </c>
      <c r="Y5" s="7" t="b">
        <v>1</v>
      </c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>
        <is>
          <t>EN PROCESO</t>
        </is>
      </c>
      <c r="AL5" s="7" t="inlineStr"/>
      <c r="AM5" s="7" t="inlineStr"/>
      <c r="AN5" s="7" t="inlineStr"/>
      <c r="AO5" s="7" t="inlineStr"/>
      <c r="AP5" s="7" t="inlineStr"/>
      <c r="AQ5" s="7" t="inlineStr"/>
      <c r="AR5" s="7" t="inlineStr">
        <is>
          <t>AZUL - IDEACION Y DISENO</t>
        </is>
      </c>
      <c r="AS5" s="7" t="inlineStr">
        <is>
          <t>Referencia nueva, ficha tecnica en creacion.</t>
        </is>
      </c>
    </row>
  </sheetData>
  <autoFilter ref="A1:AS1"/>
  <conditionalFormatting sqref="A2:AS5">
    <cfRule type="expression" priority="1" dxfId="0">
      <formula>$AK2="APROBADO"</formula>
    </cfRule>
    <cfRule type="expression" priority="2" dxfId="0">
      <formula>$AK2="TERMINADO"</formula>
    </cfRule>
    <cfRule type="expression" priority="3" dxfId="1">
      <formula>$AK2="EN PROCESO"</formula>
    </cfRule>
    <cfRule type="expression" priority="4" dxfId="2">
      <formula>$AK2="PAUSADO"</formula>
    </cfRule>
    <cfRule type="expression" priority="5" dxfId="3">
      <formula>$AK2="CANCELADO"</formula>
    </cfRule>
    <cfRule type="expression" priority="6" dxfId="3">
      <formula>$AK2="CANCELADO CORTADO"</formula>
    </cfRule>
    <cfRule type="expression" priority="7" dxfId="3">
      <formula>$AK2="CANCELADO SIN CORTAR"</formula>
    </cfRule>
    <cfRule type="expression" priority="8" dxfId="4">
      <formula>AND($AK2="APROBADO",$C2="")</formula>
    </cfRule>
  </conditionalFormatting>
  <dataValidations count="12">
    <dataValidation sqref="J2:J500" showDropDown="0" showInputMessage="0" showErrorMessage="0" allowBlank="1" errorTitle="Dato invalido" error="Valor no valido. Seleccione de la lista." type="list">
      <formula1>=PARAMETROS!$G$2:$G$7</formula1>
    </dataValidation>
    <dataValidation sqref="K2:K500" showDropDown="0" showInputMessage="0" showErrorMessage="0" allowBlank="1" errorTitle="Dato invalido" error="Valor no valido. Seleccione de la lista." type="list">
      <formula1>=PARAMETROS!$H$2:$H$5</formula1>
    </dataValidation>
    <dataValidation sqref="L2:L500" showDropDown="0" showInputMessage="0" showErrorMessage="0" allowBlank="1" errorTitle="Dato invalido" error="Valor no valido. Seleccione de la lista." type="list">
      <formula1>=PARAMETROS!$K$2:$K$7</formula1>
    </dataValidation>
    <dataValidation sqref="M2:M500" showDropDown="0" showInputMessage="0" showErrorMessage="0" allowBlank="1" errorTitle="Dato invalido" error="Valor no valido. Seleccione de la lista." type="list">
      <formula1>=PARAMETROS!$AA$2:$AA$8</formula1>
    </dataValidation>
    <dataValidation sqref="O2:O500" showDropDown="0" showInputMessage="0" showErrorMessage="0" allowBlank="1" errorTitle="Dato invalido" error="Valor no valido. Seleccione de la lista." type="list">
      <formula1>=PARAMETROS!$B$2:$B$9</formula1>
    </dataValidation>
    <dataValidation sqref="V2:V500" showDropDown="0" showInputMessage="0" showErrorMessage="0" allowBlank="1" errorTitle="Dato invalido" error="Valor no valido. Seleccione de la lista." type="list">
      <formula1>=PARAMETROS!$E$2:$E$9</formula1>
    </dataValidation>
    <dataValidation sqref="W2:W500" showDropDown="0" showInputMessage="0" showErrorMessage="0" allowBlank="1" errorTitle="Dato invalido" error="Valor no valido. Seleccione de la lista." type="list">
      <formula1>=PARAMETROS!$W$2:$W$6</formula1>
    </dataValidation>
    <dataValidation sqref="AB2:AB500" showDropDown="0" showInputMessage="0" showErrorMessage="0" allowBlank="1" errorTitle="Dato invalido" error="Valor no valido. Seleccione de la lista." type="list">
      <formula1>=PARAMETROS!$L$2:$L$4</formula1>
    </dataValidation>
    <dataValidation sqref="AC2:AC500" showDropDown="0" showInputMessage="0" showErrorMessage="0" allowBlank="1" errorTitle="Dato invalido" error="Valor no valido. Seleccione de la lista." type="list">
      <formula1>=PARAMETROS!$C$2:$C$9</formula1>
    </dataValidation>
    <dataValidation sqref="AD2:AD500" showDropDown="0" showInputMessage="0" showErrorMessage="0" allowBlank="1" errorTitle="Dato invalido" error="Valor no valido. Seleccione de la lista." type="list">
      <formula1>=PARAMETROS!$C$2:$C$9</formula1>
    </dataValidation>
    <dataValidation sqref="AK2:AK500" showDropDown="0" showInputMessage="0" showErrorMessage="0" allowBlank="1" errorTitle="Dato invalido" error="Valor no valido. Seleccione de la lista." type="list">
      <formula1>=PARAMETROS!$A$2:$A$11</formula1>
    </dataValidation>
    <dataValidation sqref="I2:I500" showDropDown="0" showInputMessage="0" showErrorMessage="0" allowBlank="1" errorTitle="Subl_x_nea dependiente" error="Seleccione primero una L_x_nea valida" type="list">
      <formula1>=INDIRECT(SUBSTITUTE(H2;" ";"_"))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O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.3" customWidth="1" min="2" max="2"/>
    <col width="19.6" customWidth="1" min="3" max="3"/>
    <col width="22" customWidth="1" min="4" max="4"/>
    <col width="22" customWidth="1" min="5" max="5"/>
    <col width="17.4" customWidth="1" min="6" max="6"/>
    <col width="22" customWidth="1" min="7" max="7"/>
    <col width="22" customWidth="1" min="8" max="8"/>
    <col width="19.6" customWidth="1" min="9" max="9"/>
    <col width="19.6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8" t="inlineStr">
        <is>
          <t>ID_Ref</t>
        </is>
      </c>
      <c r="B1" s="8" t="inlineStr">
        <is>
          <t>Tipo_Material</t>
        </is>
      </c>
      <c r="C1" s="8" t="inlineStr">
        <is>
          <t>Cod_Material_SAP</t>
        </is>
      </c>
      <c r="D1" s="8" t="inlineStr">
        <is>
          <t>Descripcion_Material</t>
        </is>
      </c>
      <c r="E1" s="8" t="inlineStr">
        <is>
          <t>Ancho_Util_Tela (m)</t>
        </is>
      </c>
      <c r="F1" s="8" t="inlineStr">
        <is>
          <t>Base_Textil</t>
        </is>
      </c>
      <c r="G1" s="8" t="inlineStr">
        <is>
          <t>Ubicacion_Trazo (SI/NO)</t>
        </is>
      </c>
      <c r="H1" s="8" t="inlineStr">
        <is>
          <t>Modificacion_Arte (SI/NO)</t>
        </is>
      </c>
      <c r="I1" s="8" t="inlineStr">
        <is>
          <t>All_Over (SI/NO)</t>
        </is>
      </c>
      <c r="J1" s="9" t="inlineStr">
        <is>
          <t>Consumo_Base (m)</t>
        </is>
      </c>
      <c r="K1" s="9" t="inlineStr">
        <is>
          <t>Consumo_Creativo (m)</t>
        </is>
      </c>
      <c r="L1" s="9" t="inlineStr">
        <is>
          <t>Consumo_Tecnico (m)</t>
        </is>
      </c>
      <c r="M1" s="9" t="inlineStr">
        <is>
          <t>Consumo_Trazador (m)</t>
        </is>
      </c>
      <c r="N1" s="9" t="inlineStr">
        <is>
          <t>Ahorro_Optimizado (m)</t>
        </is>
      </c>
      <c r="O1" s="9" t="inlineStr">
        <is>
          <t>%_Ahorro</t>
        </is>
      </c>
    </row>
    <row r="2">
      <c r="A2" s="12" t="n">
        <v>1</v>
      </c>
      <c r="B2" s="12" t="inlineStr">
        <is>
          <t>TELA LUCIR</t>
        </is>
      </c>
      <c r="C2" s="12" t="inlineStr">
        <is>
          <t>TEL-88902</t>
        </is>
      </c>
      <c r="D2" s="12" t="inlineStr">
        <is>
          <t>Lino Italiano Premium</t>
        </is>
      </c>
      <c r="E2" s="12" t="n">
        <v>1.45</v>
      </c>
      <c r="F2" s="12" t="inlineStr">
        <is>
          <t>LINEN</t>
        </is>
      </c>
      <c r="G2" s="12" t="inlineStr">
        <is>
          <t>SI</t>
        </is>
      </c>
      <c r="H2" s="12" t="inlineStr">
        <is>
          <t>NO</t>
        </is>
      </c>
      <c r="I2" s="12" t="inlineStr">
        <is>
          <t>NO</t>
        </is>
      </c>
      <c r="J2" s="12" t="n">
        <v>2.1</v>
      </c>
      <c r="K2" s="12" t="n">
        <v>2.05</v>
      </c>
      <c r="L2" s="12" t="n">
        <v>1.99</v>
      </c>
      <c r="M2" s="12" t="n">
        <v>1.85</v>
      </c>
      <c r="N2">
        <f>ARRAYFORMULA(IF(K2:K="";"";K2:K-M2:M))</f>
        <v/>
      </c>
      <c r="O2">
        <f>ARRAYFORMULA(IF(K2:K="";"";IF(K2:K&gt;0;(K2:K-M2:M)/K2:K*100;0)))</f>
        <v/>
      </c>
    </row>
    <row r="3">
      <c r="A3" s="7" t="n">
        <v>1</v>
      </c>
      <c r="B3" s="7" t="inlineStr">
        <is>
          <t>TELA FORRO</t>
        </is>
      </c>
      <c r="C3" s="7" t="inlineStr">
        <is>
          <t>TEL-33410</t>
        </is>
      </c>
      <c r="D3" s="7" t="inlineStr">
        <is>
          <t>Algodon Suave Ecologico</t>
        </is>
      </c>
      <c r="E3" s="7" t="n">
        <v>1.4</v>
      </c>
      <c r="F3" s="7" t="inlineStr">
        <is>
          <t>COTTON</t>
        </is>
      </c>
      <c r="G3" s="7" t="inlineStr">
        <is>
          <t>NO</t>
        </is>
      </c>
      <c r="H3" s="7" t="inlineStr">
        <is>
          <t>NO</t>
        </is>
      </c>
      <c r="I3" s="7" t="inlineStr">
        <is>
          <t>NO</t>
        </is>
      </c>
      <c r="J3" s="7" t="n">
        <v>1.2</v>
      </c>
      <c r="K3" s="7" t="n">
        <v>1.35</v>
      </c>
      <c r="L3" s="7" t="n">
        <v>1.33</v>
      </c>
      <c r="M3" s="7" t="n">
        <v>1.05</v>
      </c>
    </row>
    <row r="4">
      <c r="A4" s="12" t="n">
        <v>2</v>
      </c>
      <c r="B4" s="12" t="inlineStr">
        <is>
          <t>TELA LUCIR</t>
        </is>
      </c>
      <c r="C4" s="12" t="inlineStr">
        <is>
          <t>TEL-88909</t>
        </is>
      </c>
      <c r="D4" s="12" t="inlineStr">
        <is>
          <t>Lino Premium Sand</t>
        </is>
      </c>
      <c r="E4" s="12" t="n">
        <v>1.5</v>
      </c>
      <c r="F4" s="12" t="inlineStr">
        <is>
          <t>LINEN</t>
        </is>
      </c>
      <c r="G4" s="12" t="inlineStr">
        <is>
          <t>SI</t>
        </is>
      </c>
      <c r="H4" s="12" t="inlineStr">
        <is>
          <t>SI</t>
        </is>
      </c>
      <c r="I4" s="12" t="inlineStr">
        <is>
          <t>NO</t>
        </is>
      </c>
      <c r="J4" s="12" t="n">
        <v>1.85</v>
      </c>
      <c r="K4" s="12" t="n">
        <v>1.92</v>
      </c>
      <c r="L4" s="12" t="n">
        <v>1.88</v>
      </c>
      <c r="M4" s="12" t="n">
        <v>1.85</v>
      </c>
    </row>
    <row r="5">
      <c r="A5" s="7" t="n">
        <v>3</v>
      </c>
      <c r="B5" s="7" t="inlineStr">
        <is>
          <t>TELA LUCIR</t>
        </is>
      </c>
      <c r="C5" s="7" t="inlineStr">
        <is>
          <t>TEL-55603</t>
        </is>
      </c>
      <c r="D5" s="7" t="inlineStr">
        <is>
          <t>Seda Crepe de Chine</t>
        </is>
      </c>
      <c r="E5" s="7" t="n">
        <v>1.35</v>
      </c>
      <c r="F5" s="7" t="inlineStr">
        <is>
          <t>CREPE DE CHINE</t>
        </is>
      </c>
      <c r="G5" s="7" t="inlineStr">
        <is>
          <t>NO</t>
        </is>
      </c>
      <c r="H5" s="7" t="inlineStr">
        <is>
          <t>SI</t>
        </is>
      </c>
      <c r="I5" s="7" t="inlineStr">
        <is>
          <t>SI</t>
        </is>
      </c>
      <c r="J5" s="7" t="n">
        <v>2.15</v>
      </c>
      <c r="K5" s="7" t="n">
        <v>2.3</v>
      </c>
      <c r="L5" s="7" t="inlineStr"/>
      <c r="M5" s="7" t="inlineStr"/>
    </row>
    <row r="6">
      <c r="A6" s="12" t="n">
        <v>3</v>
      </c>
      <c r="B6" s="12" t="inlineStr">
        <is>
          <t>FUSIONABLE</t>
        </is>
      </c>
      <c r="C6" s="12" t="inlineStr">
        <is>
          <t>FUS-00120</t>
        </is>
      </c>
      <c r="D6" s="12" t="inlineStr">
        <is>
          <t>Entretela Fusionable Ligera</t>
        </is>
      </c>
      <c r="E6" s="12" t="n">
        <v>0.9</v>
      </c>
      <c r="F6" s="12" t="inlineStr">
        <is>
          <t>COTTON</t>
        </is>
      </c>
      <c r="G6" s="12" t="inlineStr">
        <is>
          <t>NO</t>
        </is>
      </c>
      <c r="H6" s="12" t="inlineStr">
        <is>
          <t>NO</t>
        </is>
      </c>
      <c r="I6" s="12" t="inlineStr">
        <is>
          <t>NO</t>
        </is>
      </c>
      <c r="J6" s="12" t="n">
        <v>0.45</v>
      </c>
      <c r="K6" s="12" t="n">
        <v>0.48</v>
      </c>
      <c r="L6" s="12" t="inlineStr"/>
      <c r="M6" s="12" t="inlineStr"/>
    </row>
    <row r="7">
      <c r="A7" s="7" t="n">
        <v>4</v>
      </c>
      <c r="B7" s="7" t="inlineStr">
        <is>
          <t>TELA LUCIR</t>
        </is>
      </c>
      <c r="C7" s="7" t="inlineStr">
        <is>
          <t>TEL-99801</t>
        </is>
      </c>
      <c r="D7" s="7" t="inlineStr">
        <is>
          <t>Lino Light Azure</t>
        </is>
      </c>
      <c r="E7" s="7" t="n">
        <v>1.42</v>
      </c>
      <c r="F7" s="7" t="inlineStr">
        <is>
          <t>LIGHT LINEN</t>
        </is>
      </c>
      <c r="G7" s="7" t="inlineStr">
        <is>
          <t>NO</t>
        </is>
      </c>
      <c r="H7" s="7" t="inlineStr">
        <is>
          <t>NO</t>
        </is>
      </c>
      <c r="I7" s="7" t="inlineStr">
        <is>
          <t>NO</t>
        </is>
      </c>
      <c r="J7" s="7" t="inlineStr"/>
      <c r="K7" s="7" t="inlineStr"/>
      <c r="L7" s="7" t="inlineStr"/>
      <c r="M7" s="7" t="inlineStr"/>
    </row>
  </sheetData>
  <autoFilter ref="A1:O1"/>
  <dataValidations count="1">
    <dataValidation sqref="B2:B500" showDropDown="0" showInputMessage="0" showErrorMessage="0" allowBlank="1" error="Seleccione un tipo de material valido" type="list">
      <formula1>=PARAMETROS!$J$2:$J$15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N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.4" customWidth="1" min="2" max="2"/>
    <col width="19.6" customWidth="1" min="3" max="3"/>
    <col width="22.9" customWidth="1" min="4" max="4"/>
    <col width="20.7" customWidth="1" min="5" max="5"/>
    <col width="26.2" customWidth="1" min="6" max="6"/>
    <col width="12" customWidth="1" min="7" max="7"/>
    <col width="16.3" customWidth="1" min="8" max="8"/>
    <col width="20.7" customWidth="1" min="9" max="9"/>
    <col width="20.7" customWidth="1" min="10" max="10"/>
    <col width="20.7" customWidth="1" min="11" max="11"/>
    <col width="20.7" customWidth="1" min="12" max="12"/>
    <col width="20.7" customWidth="1" min="13" max="13"/>
    <col width="28" customWidth="1" min="14" max="14"/>
  </cols>
  <sheetData>
    <row r="1">
      <c r="A1" s="11" t="inlineStr">
        <is>
          <t>ID_Ref</t>
        </is>
      </c>
      <c r="B1" s="11" t="inlineStr">
        <is>
          <t>Tipo_Marquilla</t>
        </is>
      </c>
      <c r="C1" s="11" t="inlineStr">
        <is>
          <t>Info_SAP (SI/NO)</t>
        </is>
      </c>
      <c r="D1" s="11" t="inlineStr">
        <is>
          <t>Desc_USA_UK</t>
        </is>
      </c>
      <c r="E1" s="11" t="inlineStr">
        <is>
          <t>Fiber_Composition</t>
        </is>
      </c>
      <c r="F1" s="11" t="inlineStr">
        <is>
          <t>Inside_Composition</t>
        </is>
      </c>
      <c r="G1" s="11" t="inlineStr">
        <is>
          <t>Include</t>
        </is>
      </c>
      <c r="H1" s="11" t="inlineStr">
        <is>
          <t>Woven_Knitted</t>
        </is>
      </c>
      <c r="I1" s="10" t="inlineStr">
        <is>
          <t>Cuidado_Lavado</t>
        </is>
      </c>
      <c r="J1" s="10" t="inlineStr">
        <is>
          <t>Cuidado_Desmanche</t>
        </is>
      </c>
      <c r="K1" s="10" t="inlineStr">
        <is>
          <t>Cuidado_Secado</t>
        </is>
      </c>
      <c r="L1" s="10" t="inlineStr">
        <is>
          <t>Cuidado_Planchado</t>
        </is>
      </c>
      <c r="M1" s="10" t="inlineStr">
        <is>
          <t>Cuidados_Includes</t>
        </is>
      </c>
      <c r="N1" s="11" t="inlineStr">
        <is>
          <t>Observaciones</t>
        </is>
      </c>
    </row>
    <row r="2">
      <c r="A2" s="12" t="n">
        <v>1</v>
      </c>
      <c r="B2" s="12" t="inlineStr">
        <is>
          <t>MUESTRA</t>
        </is>
      </c>
      <c r="C2" s="12" t="inlineStr">
        <is>
          <t>NO</t>
        </is>
      </c>
      <c r="D2" s="12" t="inlineStr">
        <is>
          <t>Linen Maxidress</t>
        </is>
      </c>
      <c r="E2" s="12" t="inlineStr">
        <is>
          <t>100% Linen</t>
        </is>
      </c>
      <c r="F2" s="12" t="inlineStr">
        <is>
          <t>95% Cotton, 5% Spandex</t>
        </is>
      </c>
      <c r="G2" s="12" t="inlineStr">
        <is>
          <t>NO</t>
        </is>
      </c>
      <c r="H2" s="12" t="inlineStr">
        <is>
          <t>WOVEN</t>
        </is>
      </c>
      <c r="I2" s="12" t="inlineStr">
        <is>
          <t>HAND WASH COLD</t>
        </is>
      </c>
      <c r="J2" s="12" t="inlineStr">
        <is>
          <t>DO NOT BLEACH</t>
        </is>
      </c>
      <c r="K2" s="12" t="inlineStr">
        <is>
          <t>DO NOT TUMBLE DRY</t>
        </is>
      </c>
      <c r="L2" s="12" t="inlineStr">
        <is>
          <t>DO NOT IRON</t>
        </is>
      </c>
      <c r="M2" s="12" t="inlineStr">
        <is>
          <t>N/A</t>
        </is>
      </c>
      <c r="N2" s="12" t="inlineStr">
        <is>
          <t>Composiciones verificadas con proveedor</t>
        </is>
      </c>
    </row>
    <row r="3">
      <c r="A3" s="7" t="n">
        <v>1</v>
      </c>
      <c r="B3" s="7" t="inlineStr">
        <is>
          <t>PRODUCCION</t>
        </is>
      </c>
      <c r="C3" s="7" t="inlineStr">
        <is>
          <t>SI</t>
        </is>
      </c>
      <c r="D3" s="7" t="inlineStr">
        <is>
          <t>Linen Maxidress</t>
        </is>
      </c>
      <c r="E3" s="7" t="inlineStr">
        <is>
          <t>100% Linen</t>
        </is>
      </c>
      <c r="F3" s="7" t="inlineStr">
        <is>
          <t>95% Cotton, 5% Spandex</t>
        </is>
      </c>
      <c r="G3" s="7" t="inlineStr">
        <is>
          <t>NO</t>
        </is>
      </c>
      <c r="H3" s="7" t="inlineStr">
        <is>
          <t>WOVEN</t>
        </is>
      </c>
      <c r="I3" s="7" t="inlineStr">
        <is>
          <t>HAND WASH COLD</t>
        </is>
      </c>
      <c r="J3" s="7" t="inlineStr">
        <is>
          <t>DO NOT BLEACH</t>
        </is>
      </c>
      <c r="K3" s="7" t="inlineStr">
        <is>
          <t>DO NOT TUMBLE DRY</t>
        </is>
      </c>
      <c r="L3" s="7" t="inlineStr">
        <is>
          <t>DO NOT IRON</t>
        </is>
      </c>
      <c r="M3" s="7" t="inlineStr">
        <is>
          <t>N/A</t>
        </is>
      </c>
      <c r="N3" s="7" t="inlineStr">
        <is>
          <t>Subido a SAP 2026-04-29</t>
        </is>
      </c>
    </row>
    <row r="4">
      <c r="A4" s="12" t="n">
        <v>2</v>
      </c>
      <c r="B4" s="12" t="inlineStr">
        <is>
          <t>MUESTRA</t>
        </is>
      </c>
      <c r="C4" s="12" t="inlineStr">
        <is>
          <t>NO</t>
        </is>
      </c>
      <c r="D4" s="12" t="inlineStr">
        <is>
          <t>Vacation Panty Sand</t>
        </is>
      </c>
      <c r="E4" s="12" t="inlineStr">
        <is>
          <t>100% Linen</t>
        </is>
      </c>
      <c r="F4" s="12" t="inlineStr">
        <is>
          <t>N/A</t>
        </is>
      </c>
      <c r="G4" s="12" t="inlineStr">
        <is>
          <t>NO</t>
        </is>
      </c>
      <c r="H4" s="12" t="inlineStr">
        <is>
          <t>WOVEN</t>
        </is>
      </c>
      <c r="I4" s="12" t="inlineStr">
        <is>
          <t>MACHINE WASH COLD</t>
        </is>
      </c>
      <c r="J4" s="12" t="inlineStr">
        <is>
          <t>DO NOT BLEACH</t>
        </is>
      </c>
      <c r="K4" s="12" t="inlineStr">
        <is>
          <t>TUMBLE DRY LOW</t>
        </is>
      </c>
      <c r="L4" s="12" t="inlineStr">
        <is>
          <t>IRON LOW</t>
        </is>
      </c>
      <c r="M4" s="12" t="inlineStr">
        <is>
          <t>N/A</t>
        </is>
      </c>
      <c r="N4" s="12" t="inlineStr"/>
    </row>
    <row r="5">
      <c r="A5" s="7" t="n">
        <v>3</v>
      </c>
      <c r="B5" s="7" t="inlineStr">
        <is>
          <t>MUESTRA</t>
        </is>
      </c>
      <c r="C5" s="7" t="inlineStr">
        <is>
          <t>NO</t>
        </is>
      </c>
      <c r="D5" s="7" t="inlineStr">
        <is>
          <t>Midi Dress Draped</t>
        </is>
      </c>
      <c r="E5" s="7" t="inlineStr">
        <is>
          <t>100% Silk</t>
        </is>
      </c>
      <c r="F5" s="7" t="inlineStr">
        <is>
          <t>N/A</t>
        </is>
      </c>
      <c r="G5" s="7" t="inlineStr">
        <is>
          <t>NO</t>
        </is>
      </c>
      <c r="H5" s="7" t="inlineStr">
        <is>
          <t>WOVEN</t>
        </is>
      </c>
      <c r="I5" s="7" t="inlineStr">
        <is>
          <t>DRY CLEAN ONLY</t>
        </is>
      </c>
      <c r="J5" s="7" t="inlineStr">
        <is>
          <t>DO NOT BLEACH</t>
        </is>
      </c>
      <c r="K5" s="7" t="inlineStr">
        <is>
          <t>DO NOT TUMBLE DRY</t>
        </is>
      </c>
      <c r="L5" s="7" t="inlineStr">
        <is>
          <t>DO NOT IRON</t>
        </is>
      </c>
      <c r="M5" s="7" t="inlineStr">
        <is>
          <t>N/A</t>
        </is>
      </c>
      <c r="N5" s="7" t="inlineStr">
        <is>
          <t>Validar con proveedor seda</t>
        </is>
      </c>
    </row>
  </sheetData>
  <autoFilter ref="A1:N1"/>
  <dataValidations count="1">
    <dataValidation sqref="H2:H500" showDropDown="0" showInputMessage="0" showErrorMessage="0" allowBlank="1" type="list">
      <formula1>=PARAMETROS!$W$2:$W$3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26B0A"/>
    <outlinePr summaryBelow="1" summaryRight="1"/>
    <pageSetUpPr/>
  </sheetPr>
  <dimension ref="A1:R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2.9" customWidth="1" min="4" max="4"/>
    <col width="22.9" customWidth="1" min="5" max="5"/>
    <col width="24" customWidth="1" min="6" max="6"/>
    <col width="18.5" customWidth="1" min="7" max="7"/>
    <col width="20.7" customWidth="1" min="8" max="8"/>
    <col width="22.9" customWidth="1" min="9" max="9"/>
    <col width="12" customWidth="1" min="10" max="10"/>
    <col width="12" customWidth="1" min="11" max="11"/>
    <col width="21.8" customWidth="1" min="12" max="12"/>
    <col width="24" customWidth="1" min="13" max="13"/>
    <col width="20.7" customWidth="1" min="14" max="14"/>
    <col width="24" customWidth="1" min="15" max="15"/>
    <col width="24" customWidth="1" min="16" max="16"/>
    <col width="21.8" customWidth="1" min="17" max="17"/>
    <col width="20.7" customWidth="1" min="18" max="18"/>
  </cols>
  <sheetData>
    <row r="1">
      <c r="A1" s="10" t="inlineStr">
        <is>
          <t>ID_Ref</t>
        </is>
      </c>
      <c r="B1" s="10" t="inlineStr">
        <is>
          <t>Cod_OT</t>
        </is>
      </c>
      <c r="C1" s="10" t="inlineStr">
        <is>
          <t>Nombre_Contramuestra</t>
        </is>
      </c>
      <c r="D1" s="10" t="inlineStr">
        <is>
          <t>Talla_Contramuestra</t>
        </is>
      </c>
      <c r="E1" s="10" t="inlineStr">
        <is>
          <t>Color_Contramuestra</t>
        </is>
      </c>
      <c r="F1" s="10" t="inlineStr">
        <is>
          <t>Dise_x_ador_Encargado</t>
        </is>
      </c>
      <c r="G1" s="10" t="inlineStr">
        <is>
          <t>Modista_CM</t>
        </is>
      </c>
      <c r="H1" s="10" t="inlineStr">
        <is>
          <t>Status_Confeccion</t>
        </is>
      </c>
      <c r="I1" s="10" t="inlineStr">
        <is>
          <t>Tipo_Rechazo_Planta</t>
        </is>
      </c>
      <c r="J1" s="10" t="inlineStr">
        <is>
          <t>Prioridad</t>
        </is>
      </c>
      <c r="K1" s="10" t="inlineStr">
        <is>
          <t>Drop</t>
        </is>
      </c>
      <c r="L1" s="10" t="inlineStr">
        <is>
          <t>Fecha_Meta_Entrega</t>
        </is>
      </c>
      <c r="M1" s="10" t="inlineStr">
        <is>
          <t>Reprogramacion (SI/NO)</t>
        </is>
      </c>
      <c r="N1" s="10" t="inlineStr">
        <is>
          <t>Unidades_Cortadas</t>
        </is>
      </c>
      <c r="O1" s="10" t="inlineStr">
        <is>
          <t>Nota_Fabricacion_SAP</t>
        </is>
      </c>
      <c r="P1" s="10" t="inlineStr">
        <is>
          <t>Gestion_Nota (Fecha)</t>
        </is>
      </c>
      <c r="Q1" s="10" t="inlineStr">
        <is>
          <t>Fecha_Traslado_SAP</t>
        </is>
      </c>
      <c r="R1" s="10" t="inlineStr">
        <is>
          <t>Fecha_Despacho_ZF</t>
        </is>
      </c>
    </row>
    <row r="2">
      <c r="A2" s="12" t="n">
        <v>1</v>
      </c>
      <c r="B2" s="12" t="inlineStr">
        <is>
          <t>OT-00870</t>
        </is>
      </c>
      <c r="C2" s="12" t="inlineStr">
        <is>
          <t>Femininity Dramatic Dress OT</t>
        </is>
      </c>
      <c r="D2" s="12" t="inlineStr">
        <is>
          <t>M</t>
        </is>
      </c>
      <c r="E2" s="12" t="inlineStr">
        <is>
          <t>Ecru</t>
        </is>
      </c>
      <c r="F2" s="12" t="inlineStr">
        <is>
          <t>DANIELA GARCIA</t>
        </is>
      </c>
      <c r="G2" s="12" t="inlineStr">
        <is>
          <t>ISABEL VALENCIA</t>
        </is>
      </c>
      <c r="H2" s="12" t="inlineStr">
        <is>
          <t>TERMINADO</t>
        </is>
      </c>
      <c r="I2" s="12" t="inlineStr"/>
      <c r="J2" s="12" t="inlineStr">
        <is>
          <t>1</t>
        </is>
      </c>
      <c r="K2" s="12" t="inlineStr">
        <is>
          <t>A</t>
        </is>
      </c>
      <c r="L2" s="12" t="inlineStr">
        <is>
          <t>2026-05-02</t>
        </is>
      </c>
      <c r="M2" s="12" t="inlineStr">
        <is>
          <t>NO</t>
        </is>
      </c>
      <c r="N2" s="12" t="n">
        <v>12</v>
      </c>
      <c r="O2" s="12" t="inlineStr">
        <is>
          <t>NOT-778901</t>
        </is>
      </c>
      <c r="P2" s="12" t="inlineStr">
        <is>
          <t>2026-05-06</t>
        </is>
      </c>
      <c r="Q2" s="12" t="inlineStr">
        <is>
          <t>2026-05-07</t>
        </is>
      </c>
      <c r="R2" s="12" t="inlineStr">
        <is>
          <t>2026-05-08</t>
        </is>
      </c>
    </row>
    <row r="3">
      <c r="A3" s="7" t="n">
        <v>2</v>
      </c>
      <c r="B3" s="7" t="inlineStr"/>
      <c r="C3" s="7" t="inlineStr">
        <is>
          <t>Sunset Vacation Panty OT</t>
        </is>
      </c>
      <c r="D3" s="7" t="inlineStr">
        <is>
          <t>8</t>
        </is>
      </c>
      <c r="E3" s="7" t="inlineStr">
        <is>
          <t>Sand</t>
        </is>
      </c>
      <c r="F3" s="7" t="inlineStr">
        <is>
          <t>CRISTIAN GOMEZ</t>
        </is>
      </c>
      <c r="G3" s="7" t="inlineStr">
        <is>
          <t>FANNY GOMEZ</t>
        </is>
      </c>
      <c r="H3" s="7" t="inlineStr">
        <is>
          <t>EN PROCESO</t>
        </is>
      </c>
      <c r="I3" s="7" t="inlineStr"/>
      <c r="J3" s="7" t="inlineStr">
        <is>
          <t>2</t>
        </is>
      </c>
      <c r="K3" s="7" t="inlineStr">
        <is>
          <t>B</t>
        </is>
      </c>
      <c r="L3" s="7" t="inlineStr">
        <is>
          <t>2026-05-10</t>
        </is>
      </c>
      <c r="M3" s="7" t="inlineStr">
        <is>
          <t>NO</t>
        </is>
      </c>
      <c r="N3" s="7" t="inlineStr"/>
      <c r="O3" s="7" t="inlineStr"/>
      <c r="P3" s="7" t="inlineStr"/>
      <c r="Q3" s="7" t="inlineStr"/>
      <c r="R3" s="7" t="inlineStr"/>
    </row>
    <row r="4">
      <c r="A4" s="12" t="n">
        <v>3</v>
      </c>
      <c r="B4" s="12" t="inlineStr"/>
      <c r="C4" s="12" t="inlineStr"/>
      <c r="D4" s="12" t="inlineStr"/>
      <c r="E4" s="12" t="inlineStr"/>
      <c r="F4" s="12" t="inlineStr"/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</row>
  </sheetData>
  <autoFilter ref="A1:R1"/>
  <dataValidations count="3">
    <dataValidation sqref="H2:H500" showDropDown="0" showInputMessage="0" showErrorMessage="0" allowBlank="1" type="list">
      <formula1>=PARAMETROS!$Y$2:$Y$7</formula1>
    </dataValidation>
    <dataValidation sqref="J2:J500" showDropDown="0" showInputMessage="0" showErrorMessage="0" allowBlank="1" type="list">
      <formula1>=PARAMETROS!$S$2:$S$12</formula1>
    </dataValidation>
    <dataValidation sqref="K2:K500" showDropDown="0" showInputMessage="0" showErrorMessage="0" allowBlank="1" type="list">
      <formula1>=PARAMETROS!$R$2:$R$12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F7F7F"/>
    <outlinePr summaryBelow="1" summaryRight="1"/>
    <pageSetUpPr/>
  </sheetPr>
  <dimension ref="A1:N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60000000000000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</cols>
  <sheetData>
    <row r="1">
      <c r="A1" s="11" t="inlineStr">
        <is>
          <t>ID_Ref</t>
        </is>
      </c>
      <c r="B1" s="11" t="inlineStr">
        <is>
          <t>T_0</t>
        </is>
      </c>
      <c r="C1" s="11" t="inlineStr">
        <is>
          <t>T_2</t>
        </is>
      </c>
      <c r="D1" s="11" t="inlineStr">
        <is>
          <t>T_4</t>
        </is>
      </c>
      <c r="E1" s="11" t="inlineStr">
        <is>
          <t>T_6</t>
        </is>
      </c>
      <c r="F1" s="11" t="inlineStr">
        <is>
          <t>T_8</t>
        </is>
      </c>
      <c r="G1" s="11" t="inlineStr">
        <is>
          <t>T_10</t>
        </is>
      </c>
      <c r="H1" s="11" t="inlineStr">
        <is>
          <t>T_12</t>
        </is>
      </c>
      <c r="I1" s="11" t="inlineStr">
        <is>
          <t>T_XS</t>
        </is>
      </c>
      <c r="J1" s="11" t="inlineStr">
        <is>
          <t>T_S</t>
        </is>
      </c>
      <c r="K1" s="11" t="inlineStr">
        <is>
          <t>T_M</t>
        </is>
      </c>
      <c r="L1" s="11" t="inlineStr">
        <is>
          <t>T_L</t>
        </is>
      </c>
      <c r="M1" s="11" t="inlineStr">
        <is>
          <t>T_XL</t>
        </is>
      </c>
      <c r="N1" s="11" t="inlineStr">
        <is>
          <t>TOTAL</t>
        </is>
      </c>
    </row>
    <row r="2">
      <c r="A2" s="12" t="n">
        <v>1</v>
      </c>
      <c r="B2" s="12" t="n">
        <v>0</v>
      </c>
      <c r="C2" s="12" t="n">
        <v>0</v>
      </c>
      <c r="D2" s="12" t="n">
        <v>0</v>
      </c>
      <c r="E2" s="12" t="n">
        <v>0</v>
      </c>
      <c r="F2" s="12" t="n">
        <v>0</v>
      </c>
      <c r="G2" s="12" t="n">
        <v>0</v>
      </c>
      <c r="H2" s="12" t="n">
        <v>0</v>
      </c>
      <c r="I2" s="12" t="n">
        <v>150</v>
      </c>
      <c r="J2" s="12" t="n">
        <v>300</v>
      </c>
      <c r="K2" s="12" t="n">
        <v>450</v>
      </c>
      <c r="L2" s="12" t="n">
        <v>250</v>
      </c>
      <c r="M2" s="12" t="n">
        <v>100</v>
      </c>
      <c r="N2" s="13">
        <f>ARRAYFORMULA(IF(A2:A="";"";B2:B+C2:C+D2:D+E2:E+F2:F+G2:G+H2:H+I2:I+J2:J+K2:K+L2:L+M2:M))</f>
        <v/>
      </c>
    </row>
    <row r="3">
      <c r="A3" s="7" t="n">
        <v>2</v>
      </c>
      <c r="B3" s="7" t="n">
        <v>20</v>
      </c>
      <c r="C3" s="7" t="n">
        <v>40</v>
      </c>
      <c r="D3" s="7" t="n">
        <v>60</v>
      </c>
      <c r="E3" s="7" t="n">
        <v>80</v>
      </c>
      <c r="F3" s="7" t="n">
        <v>40</v>
      </c>
      <c r="G3" s="7" t="n">
        <v>20</v>
      </c>
      <c r="H3" s="7" t="n">
        <v>10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inlineStr"/>
    </row>
    <row r="4">
      <c r="A4" s="12" t="n">
        <v>3</v>
      </c>
      <c r="B4" s="12" t="n">
        <v>0</v>
      </c>
      <c r="C4" s="12" t="n">
        <v>0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80</v>
      </c>
      <c r="J4" s="12" t="n">
        <v>150</v>
      </c>
      <c r="K4" s="12" t="n">
        <v>200</v>
      </c>
      <c r="L4" s="12" t="n">
        <v>120</v>
      </c>
      <c r="M4" s="12" t="n">
        <v>60</v>
      </c>
      <c r="N4" s="12" t="inlineStr"/>
    </row>
    <row r="5">
      <c r="A5" s="7" t="n">
        <v>4</v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100</v>
      </c>
      <c r="J5" s="7" t="n">
        <v>200</v>
      </c>
      <c r="K5" s="7" t="n">
        <v>300</v>
      </c>
      <c r="L5" s="7" t="n">
        <v>180</v>
      </c>
      <c r="M5" s="7" t="n">
        <v>80</v>
      </c>
      <c r="N5" s="7" t="inlineStr"/>
    </row>
  </sheetData>
  <autoFilter ref="A1:N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3366"/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4" t="inlineStr">
        <is>
          <t>DASHBOARD EJECUTIVO - GOOGLE SHEETS OPTIMIZADO</t>
        </is>
      </c>
    </row>
    <row r="3">
      <c r="A3" s="15" t="inlineStr">
        <is>
          <t>1. ESTADO GENERAL DE LA COLECCION</t>
        </is>
      </c>
    </row>
    <row r="4">
      <c r="A4" s="16" t="inlineStr">
        <is>
          <t>Total Referencias</t>
        </is>
      </c>
      <c r="B4" s="17">
        <f>COUNTA(MATRIZ_MAESTRA!A2:A500)</f>
        <v/>
      </c>
    </row>
    <row r="5">
      <c r="A5" s="17" t="inlineStr">
        <is>
          <t xml:space="preserve">  En Ideacion (Azul)</t>
        </is>
      </c>
      <c r="B5" s="17">
        <f>COUNTIF(MATRIZ_MAESTRA!AK2:AK500;"*IDEACION*")</f>
        <v/>
      </c>
    </row>
    <row r="6">
      <c r="A6" s="17" t="inlineStr">
        <is>
          <t xml:space="preserve">  En Laboratorio (Ambar)</t>
        </is>
      </c>
      <c r="B6" s="17">
        <f>COUNTIF(MATRIZ_MAESTRA!AK2:AK500;"*LABORATORIO*")</f>
        <v/>
      </c>
    </row>
    <row r="7">
      <c r="A7" s="17" t="inlineStr">
        <is>
          <t xml:space="preserve">  En Validacion Tecnica (Naranja)</t>
        </is>
      </c>
      <c r="B7" s="17">
        <f>COUNTIF(MATRIZ_MAESTRA!AK2:AK500;"*VALIDACION*")</f>
        <v/>
      </c>
    </row>
    <row r="8">
      <c r="A8" s="17" t="inlineStr">
        <is>
          <t xml:space="preserve">  En Industrializacion (Rojo)</t>
        </is>
      </c>
      <c r="B8" s="17">
        <f>COUNTIF(MATRIZ_MAESTRA!AK2:AK500;"*INDUSTRIALIZACION*")</f>
        <v/>
      </c>
    </row>
    <row r="9">
      <c r="A9" s="17" t="inlineStr">
        <is>
          <t xml:space="preserve">  Aprobadas</t>
        </is>
      </c>
      <c r="B9" s="17">
        <f>COUNTIF(MATRIZ_MAESTRA!AK2:AK500;"APROBADO")</f>
        <v/>
      </c>
    </row>
    <row r="10">
      <c r="A10" s="18" t="inlineStr"/>
      <c r="B10" s="18" t="n"/>
    </row>
    <row r="11">
      <c r="A11" s="16" t="inlineStr">
        <is>
          <t>Referencias con consumos registrados</t>
        </is>
      </c>
      <c r="B11" s="17">
        <f>COUNTIF(CONSUMO_MATERIALES!K2:K500;"&gt;0")</f>
        <v/>
      </c>
    </row>
    <row r="12">
      <c r="A12" s="16" t="inlineStr">
        <is>
          <t>Materiales sin consumo definido</t>
        </is>
      </c>
      <c r="B12" s="17">
        <f>COUNTIFS(CONSUMO_MATERIALES!A2:A500;"&gt;0";CONSUMO_MATERIALES!K2:K500;"")</f>
        <v/>
      </c>
    </row>
    <row r="17">
      <c r="A17" s="15" t="inlineStr">
        <is>
          <t>2. CARGA DE TRABAJO POR AREA</t>
        </is>
      </c>
    </row>
    <row r="18">
      <c r="A18" s="19" t="inlineStr">
        <is>
          <t>Area</t>
        </is>
      </c>
      <c r="B18" s="19" t="inlineStr">
        <is>
          <t>Refs Activas</t>
        </is>
      </c>
      <c r="C18" s="19" t="inlineStr">
        <is>
          <t>% Carga</t>
        </is>
      </c>
      <c r="D18" s="19" t="inlineStr">
        <is>
          <t>Responsables Clave</t>
        </is>
      </c>
      <c r="E18" s="19" t="inlineStr">
        <is>
          <t>Cuellos de Botella</t>
        </is>
      </c>
    </row>
    <row r="19">
      <c r="A19" s="20" t="inlineStr">
        <is>
          <t>CREATIVA</t>
        </is>
      </c>
      <c r="B19" s="20" t="n">
        <v>3</v>
      </c>
      <c r="C19" s="20" t="inlineStr">
        <is>
          <t>75%</t>
        </is>
      </c>
      <c r="D19" s="21" t="inlineStr">
        <is>
          <t>Claudia, Fer, Osman</t>
        </is>
      </c>
      <c r="E19" s="21" t="inlineStr">
        <is>
          <t>Ref #3 espera tela en cuarentena</t>
        </is>
      </c>
    </row>
    <row r="20">
      <c r="A20" s="20" t="inlineStr">
        <is>
          <t>TALLER</t>
        </is>
      </c>
      <c r="B20" s="20" t="n">
        <v>3</v>
      </c>
      <c r="C20" s="20" t="inlineStr">
        <is>
          <t>60%</t>
        </is>
      </c>
      <c r="D20" s="21" t="inlineStr">
        <is>
          <t>Isabel V., Fanny G., Alejandra R.</t>
        </is>
      </c>
      <c r="E20" s="21" t="inlineStr">
        <is>
          <t>Ref #3 sin corte aun</t>
        </is>
      </c>
    </row>
    <row r="21">
      <c r="A21" s="20" t="inlineStr">
        <is>
          <t>INGENIERIA</t>
        </is>
      </c>
      <c r="B21" s="20" t="n">
        <v>2</v>
      </c>
      <c r="C21" s="20" t="inlineStr">
        <is>
          <t>50%</t>
        </is>
      </c>
      <c r="D21" s="21" t="inlineStr">
        <is>
          <t>Daniela G., Cristian G.</t>
        </is>
      </c>
      <c r="E21" s="21" t="inlineStr">
        <is>
          <t>Ref #2 talla 12 compleja</t>
        </is>
      </c>
    </row>
    <row r="22">
      <c r="A22" s="20" t="inlineStr">
        <is>
          <t>PRODUCCION</t>
        </is>
      </c>
      <c r="B22" s="20" t="n">
        <v>1</v>
      </c>
      <c r="C22" s="20" t="inlineStr">
        <is>
          <t>25%</t>
        </is>
      </c>
      <c r="D22" s="21" t="inlineStr">
        <is>
          <t>Gabriela L.</t>
        </is>
      </c>
      <c r="E22" s="21" t="inlineStr">
        <is>
          <t>Sin bloqueadores</t>
        </is>
      </c>
    </row>
    <row r="26">
      <c r="A26" s="15" t="inlineStr">
        <is>
          <t>3. TOP AHORRO DE TELA (Consumos Optimizados)</t>
        </is>
      </c>
    </row>
    <row r="27">
      <c r="A27" s="19" t="inlineStr">
        <is>
          <t>Ref</t>
        </is>
      </c>
      <c r="B27" s="19" t="inlineStr">
        <is>
          <t>Material</t>
        </is>
      </c>
      <c r="C27" s="19" t="inlineStr">
        <is>
          <t>Consumo Creativo</t>
        </is>
      </c>
      <c r="D27" s="19" t="inlineStr">
        <is>
          <t>Consumo Trazador</t>
        </is>
      </c>
      <c r="E27" s="19" t="inlineStr">
        <is>
          <t>Ahorro (m)</t>
        </is>
      </c>
      <c r="F27" s="19" t="inlineStr">
        <is>
          <t>% Ahorro</t>
        </is>
      </c>
    </row>
    <row r="28">
      <c r="A28" s="7" t="n">
        <v>1</v>
      </c>
      <c r="B28" s="7" t="inlineStr">
        <is>
          <t>TELA LUCIR</t>
        </is>
      </c>
      <c r="C28" s="7" t="n">
        <v>2.05</v>
      </c>
      <c r="D28" s="7" t="n">
        <v>1.85</v>
      </c>
      <c r="E28" s="7" t="n">
        <v>0.2</v>
      </c>
      <c r="F28" s="7" t="inlineStr">
        <is>
          <t>9.8%</t>
        </is>
      </c>
    </row>
    <row r="29">
      <c r="A29" s="7" t="n">
        <v>1</v>
      </c>
      <c r="B29" s="7" t="inlineStr">
        <is>
          <t>TELA FORRO</t>
        </is>
      </c>
      <c r="C29" s="7" t="n">
        <v>1.35</v>
      </c>
      <c r="D29" s="7" t="n">
        <v>1.05</v>
      </c>
      <c r="E29" s="7" t="n">
        <v>0.3</v>
      </c>
      <c r="F29" s="7" t="inlineStr">
        <is>
          <t>22.2%</t>
        </is>
      </c>
    </row>
    <row r="30">
      <c r="A30" s="7" t="n">
        <v>2</v>
      </c>
      <c r="B30" s="7" t="inlineStr">
        <is>
          <t>TELA LUCIR</t>
        </is>
      </c>
      <c r="C30" s="7" t="n">
        <v>1.92</v>
      </c>
      <c r="D30" s="7" t="n">
        <v>1.85</v>
      </c>
      <c r="E30" s="7" t="n">
        <v>0.07000000000000001</v>
      </c>
      <c r="F30" s="7" t="inlineStr">
        <is>
          <t>3.6%</t>
        </is>
      </c>
    </row>
    <row r="32">
      <c r="A32" s="15" t="inlineStr">
        <is>
          <t>4. EMBUDO DE PROGRESO (Funnel por Fases)</t>
        </is>
      </c>
    </row>
    <row r="33">
      <c r="A33" s="22" t="inlineStr">
        <is>
          <t>FASE 1: IDEACION Y DISENO</t>
        </is>
      </c>
      <c r="B33" s="4" t="n"/>
      <c r="C33" s="23">
        <f>COUNTIF(MATRIZ_MAESTRA!AK2:AK500;"*IDEACION*")</f>
        <v/>
      </c>
      <c r="D33" s="18">
        <f>SPARKLINE(C33,{"charttype","bar";"max",COUNTA(MATRIZ_MAESTRA!A2:A500);"color1","BDD7EE"})</f>
        <v/>
      </c>
      <c r="E33" s="3" t="n"/>
      <c r="F33" s="3" t="n"/>
      <c r="G33" s="3" t="n"/>
      <c r="H33" s="4" t="n"/>
    </row>
    <row r="34">
      <c r="A34" s="24" t="inlineStr">
        <is>
          <t>FASE 2: LABORATORIO Y PROTOTIPADO</t>
        </is>
      </c>
      <c r="B34" s="4" t="n"/>
      <c r="C34" s="23">
        <f>COUNTIF(MATRIZ_MAESTRA!AK2:AK500;"*LABORATORIO*")</f>
        <v/>
      </c>
      <c r="D34" s="18">
        <f>SPARKLINE(C34,{"charttype","bar";"max",COUNTA(MATRIZ_MAESTRA!A2:A500);"color1","FFE699"})</f>
        <v/>
      </c>
      <c r="E34" s="3" t="n"/>
      <c r="F34" s="3" t="n"/>
      <c r="G34" s="3" t="n"/>
      <c r="H34" s="4" t="n"/>
    </row>
    <row r="35">
      <c r="A35" s="25" t="inlineStr">
        <is>
          <t>FASE 3: VALIDACION TECNICA</t>
        </is>
      </c>
      <c r="B35" s="4" t="n"/>
      <c r="C35" s="23">
        <f>COUNTIF(MATRIZ_MAESTRA!AK2:AK500;"*VALIDACION*")</f>
        <v/>
      </c>
      <c r="D35" s="18">
        <f>SPARKLINE(C35,{"charttype","bar";"max",COUNTA(MATRIZ_MAESTRA!A2:A500);"color1","F8CBAD"})</f>
        <v/>
      </c>
      <c r="E35" s="3" t="n"/>
      <c r="F35" s="3" t="n"/>
      <c r="G35" s="3" t="n"/>
      <c r="H35" s="4" t="n"/>
    </row>
    <row r="36">
      <c r="A36" s="26" t="inlineStr">
        <is>
          <t>FASE 4: INDUSTRIALIZACION</t>
        </is>
      </c>
      <c r="B36" s="4" t="n"/>
      <c r="C36" s="23">
        <f>COUNTIF(MATRIZ_MAESTRA!AK2:AK500;"*INDUSTRIALIZACION*")</f>
        <v/>
      </c>
      <c r="D36" s="18">
        <f>SPARKLINE(C36,{"charttype","bar";"max",COUNTA(MATRIZ_MAESTRA!A2:A500);"color1","F4B4C2"})</f>
        <v/>
      </c>
      <c r="E36" s="3" t="n"/>
      <c r="F36" s="3" t="n"/>
      <c r="G36" s="3" t="n"/>
      <c r="H36" s="4" t="n"/>
    </row>
    <row r="39">
      <c r="A39" s="15" t="inlineStr">
        <is>
          <t>5. LEYENDA DE COLORES POR AREA RESPONSABLE</t>
        </is>
      </c>
    </row>
    <row r="40">
      <c r="A40" s="27" t="n"/>
      <c r="B40" s="4" t="n"/>
      <c r="C40" s="21" t="inlineStr">
        <is>
          <t>AZUL: CREATIVA - Perfilamiento, Diseno, Referentes, Molderia Base</t>
        </is>
      </c>
      <c r="D40" s="3" t="n"/>
      <c r="E40" s="3" t="n"/>
      <c r="F40" s="3" t="n"/>
      <c r="G40" s="3" t="n"/>
      <c r="H40" s="4" t="n"/>
    </row>
    <row r="41">
      <c r="A41" s="28" t="n"/>
      <c r="B41" s="4" t="n"/>
      <c r="C41" s="21" t="inlineStr">
        <is>
          <t>AMBAR: TALLER - Alistamiento, Corte, Confeccion, Modistas</t>
        </is>
      </c>
      <c r="D41" s="3" t="n"/>
      <c r="E41" s="3" t="n"/>
      <c r="F41" s="3" t="n"/>
      <c r="G41" s="3" t="n"/>
      <c r="H41" s="4" t="n"/>
    </row>
    <row r="42">
      <c r="A42" s="29" t="n"/>
      <c r="B42" s="4" t="n"/>
      <c r="C42" s="21" t="inlineStr">
        <is>
          <t>NARANJA: INGENIERIA - Mediciones, Escalado, Consumo Tecnico, Trazos</t>
        </is>
      </c>
      <c r="D42" s="3" t="n"/>
      <c r="E42" s="3" t="n"/>
      <c r="F42" s="3" t="n"/>
      <c r="G42" s="3" t="n"/>
      <c r="H42" s="4" t="n"/>
    </row>
    <row r="43">
      <c r="A43" s="30" t="n"/>
      <c r="B43" s="4" t="n"/>
      <c r="C43" s="21" t="inlineStr">
        <is>
          <t>ROJO: PRODUCCION - Ficha Final, Marquillas, Contramuestras, SAP, Calidad</t>
        </is>
      </c>
      <c r="D43" s="3" t="n"/>
      <c r="E43" s="3" t="n"/>
      <c r="F43" s="3" t="n"/>
      <c r="G43" s="3" t="n"/>
      <c r="H43" s="4" t="n"/>
    </row>
    <row r="44">
      <c r="A44" s="31" t="n"/>
      <c r="B44" s="4" t="n"/>
      <c r="C44" s="21" t="inlineStr">
        <is>
          <t>GRIS: STATUS Y ENTREGABLES - Control de hitos, Liberacion entre fases</t>
        </is>
      </c>
      <c r="D44" s="3" t="n"/>
      <c r="E44" s="3" t="n"/>
      <c r="F44" s="3" t="n"/>
      <c r="G44" s="3" t="n"/>
      <c r="H44" s="4" t="n"/>
    </row>
    <row r="47">
      <c r="A47" s="32" t="inlineStr">
        <is>
          <t>6. RECOMENDACIONES PARA GOOGLE SHEETS (al convertir desde Excel)</t>
        </is>
      </c>
    </row>
    <row r="48">
      <c r="A48" s="33" t="inlineStr">
        <is>
          <t>1. Al subir a Google Drive: Archivo &gt; Abrir con &gt; Google Sheets (convertir)</t>
        </is>
      </c>
    </row>
    <row r="49">
      <c r="A49" s="33" t="inlineStr">
        <is>
          <t>2. Los checkboxes (TRUE/FALSE) se convierten automaticamente a casillas de verificacion</t>
        </is>
      </c>
    </row>
    <row r="50">
      <c r="A50" s="33" t="inlineStr">
        <is>
          <t>3. Los dropdowns dependientes (Linea-&gt;Subl_x_nea) usan INDIRECT, funcionan nativamente</t>
        </is>
      </c>
    </row>
    <row r="51">
      <c r="A51" s="33" t="inlineStr">
        <is>
          <t>4. ARRAYFORMULA se expande sola al insertar filas, no requiere arrastrar</t>
        </is>
      </c>
    </row>
    <row r="52">
      <c r="A52" s="33" t="inlineStr">
        <is>
          <t>5. Proteger rangos: Datos &gt; Hojas y rangos protegidos &gt; asignar por grupo (jo-creativa@, jo-taller@, etc.)</t>
        </is>
      </c>
    </row>
    <row r="53">
      <c r="A53" s="33" t="inlineStr">
        <is>
          <t>6. Activar notificaciones: Extensiones &gt; Apps Script &gt; onEdit() para emails de cambio de fase</t>
        </is>
      </c>
    </row>
    <row r="54">
      <c r="A54" s="33" t="inlineStr">
        <is>
          <t>7. Crear named versions: Archivo &gt; Historial de versiones &gt; Nombrar version actual en cada hito</t>
        </is>
      </c>
    </row>
    <row r="55">
      <c r="A55" s="33" t="inlineStr">
        <is>
          <t>8. Los SPARKLINE y QUERY se recalculan automaticamente, no necesitan refresco manual</t>
        </is>
      </c>
    </row>
  </sheetData>
  <mergeCells count="33">
    <mergeCell ref="D35:H35"/>
    <mergeCell ref="C41:H41"/>
    <mergeCell ref="A48:H48"/>
    <mergeCell ref="A39:H39"/>
    <mergeCell ref="D34:H34"/>
    <mergeCell ref="C44:H44"/>
    <mergeCell ref="C40:H40"/>
    <mergeCell ref="A51:H51"/>
    <mergeCell ref="A36:B36"/>
    <mergeCell ref="A49:H49"/>
    <mergeCell ref="A1:H1"/>
    <mergeCell ref="C43:H43"/>
    <mergeCell ref="D36:H36"/>
    <mergeCell ref="A41:B41"/>
    <mergeCell ref="A54:H54"/>
    <mergeCell ref="A50:H50"/>
    <mergeCell ref="A26:H26"/>
    <mergeCell ref="A3:H3"/>
    <mergeCell ref="A55:H55"/>
    <mergeCell ref="A33:B33"/>
    <mergeCell ref="A42:B42"/>
    <mergeCell ref="A47:H47"/>
    <mergeCell ref="A32:H32"/>
    <mergeCell ref="A35:B35"/>
    <mergeCell ref="A17:H17"/>
    <mergeCell ref="C42:H42"/>
    <mergeCell ref="A53:H53"/>
    <mergeCell ref="A43:B43"/>
    <mergeCell ref="D33:H33"/>
    <mergeCell ref="A52:H52"/>
    <mergeCell ref="A44:B44"/>
    <mergeCell ref="A40:B40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2026-05-21T21:01:47Z</dcterms:created>
  <dcterms:modified xsi:type="dcterms:W3CDTF">2026-05-21T21:01:47Z</dcterms:modified>
</cp:coreProperties>
</file>