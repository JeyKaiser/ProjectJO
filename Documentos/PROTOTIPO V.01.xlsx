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chacon\Documents\JEFERSON STUDY\Analisis de secuencia de coleccion\"/>
    </mc:Choice>
  </mc:AlternateContent>
  <xr:revisionPtr revIDLastSave="0" documentId="13_ncr:1_{5E487490-800B-432D-BA1C-6F70379486D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ATRIZ" sheetId="1" r:id="rId1"/>
    <sheet name="PARA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Q10" i="1"/>
  <c r="DK12" i="1"/>
  <c r="DJ12" i="1"/>
  <c r="DI12" i="1"/>
  <c r="DH12" i="1"/>
  <c r="DG12" i="1"/>
  <c r="DF12" i="1"/>
  <c r="BB12" i="1"/>
  <c r="BA12" i="1"/>
  <c r="AZ12" i="1"/>
  <c r="AX12" i="1"/>
  <c r="AQ12" i="1"/>
  <c r="AP12" i="1"/>
  <c r="AO12" i="1"/>
  <c r="AN12" i="1"/>
  <c r="AM12" i="1"/>
  <c r="AL12" i="1"/>
  <c r="AI12" i="1"/>
  <c r="AH12" i="1"/>
  <c r="AG12" i="1"/>
  <c r="AF12" i="1"/>
  <c r="AE12" i="1"/>
  <c r="AD12" i="1"/>
  <c r="AC12" i="1"/>
  <c r="AB12" i="1"/>
  <c r="AA12" i="1"/>
  <c r="Y12" i="1"/>
  <c r="X12" i="1"/>
  <c r="W12" i="1"/>
  <c r="V12" i="1"/>
  <c r="U12" i="1"/>
  <c r="S12" i="1"/>
  <c r="R12" i="1"/>
  <c r="L12" i="1"/>
  <c r="G12" i="1"/>
  <c r="F12" i="1"/>
  <c r="E12" i="1"/>
  <c r="D12" i="1"/>
  <c r="C12" i="1"/>
  <c r="FT11" i="1"/>
  <c r="DK11" i="1"/>
  <c r="DJ11" i="1"/>
  <c r="DI11" i="1"/>
  <c r="DH11" i="1"/>
  <c r="DG11" i="1"/>
  <c r="DF11" i="1"/>
  <c r="BB11" i="1"/>
  <c r="BA11" i="1"/>
  <c r="AZ11" i="1"/>
  <c r="AX11" i="1"/>
  <c r="AQ11" i="1"/>
  <c r="AM11" i="1"/>
  <c r="AL11" i="1"/>
  <c r="AK11" i="1"/>
  <c r="AJ11" i="1"/>
  <c r="AF11" i="1"/>
  <c r="AE11" i="1"/>
  <c r="AD11" i="1"/>
  <c r="AC11" i="1"/>
  <c r="AB11" i="1"/>
  <c r="AA11" i="1"/>
  <c r="Y11" i="1"/>
  <c r="X11" i="1"/>
  <c r="W11" i="1"/>
  <c r="V11" i="1"/>
  <c r="U11" i="1"/>
  <c r="T11" i="1"/>
  <c r="S11" i="1"/>
  <c r="R11" i="1"/>
  <c r="L11" i="1"/>
  <c r="G11" i="1"/>
  <c r="F11" i="1"/>
  <c r="E11" i="1"/>
  <c r="D11" i="1"/>
  <c r="C11" i="1"/>
  <c r="FT10" i="1"/>
  <c r="DK10" i="1"/>
  <c r="DE10" i="1"/>
  <c r="DD10" i="1"/>
  <c r="DC10" i="1"/>
  <c r="DB10" i="1"/>
  <c r="DA10" i="1"/>
  <c r="CZ10" i="1"/>
  <c r="CY10" i="1"/>
  <c r="BB10" i="1"/>
  <c r="BA10" i="1"/>
  <c r="AZ10" i="1"/>
  <c r="AX10" i="1"/>
  <c r="AQ10" i="1"/>
  <c r="AP10" i="1"/>
  <c r="AO10" i="1"/>
  <c r="AN10" i="1"/>
  <c r="AK10" i="1"/>
  <c r="AJ10" i="1"/>
  <c r="AI10" i="1"/>
  <c r="AH10" i="1"/>
  <c r="AG10" i="1"/>
  <c r="AF10" i="1"/>
  <c r="AE10" i="1"/>
  <c r="AD10" i="1"/>
  <c r="AC10" i="1"/>
  <c r="AB10" i="1"/>
  <c r="AA10" i="1"/>
  <c r="Y10" i="1"/>
  <c r="X10" i="1"/>
  <c r="W10" i="1"/>
  <c r="V10" i="1"/>
  <c r="U10" i="1"/>
  <c r="T10" i="1"/>
  <c r="S10" i="1"/>
  <c r="R10" i="1"/>
  <c r="P10" i="1"/>
  <c r="K10" i="1"/>
  <c r="G10" i="1"/>
  <c r="F10" i="1"/>
  <c r="E10" i="1"/>
  <c r="D10" i="1"/>
  <c r="C10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BD9" i="1"/>
  <c r="BC9" i="1"/>
  <c r="BB9" i="1"/>
  <c r="BA9" i="1"/>
  <c r="AZ9" i="1"/>
  <c r="AY9" i="1"/>
  <c r="AX9" i="1"/>
  <c r="AW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Y9" i="1"/>
  <c r="X9" i="1"/>
  <c r="W9" i="1"/>
  <c r="V9" i="1"/>
  <c r="U9" i="1"/>
  <c r="T9" i="1"/>
  <c r="S9" i="1"/>
  <c r="R9" i="1"/>
  <c r="Q9" i="1"/>
  <c r="P9" i="1"/>
  <c r="L9" i="1"/>
  <c r="K9" i="1"/>
  <c r="G9" i="1"/>
  <c r="F9" i="1"/>
  <c r="E9" i="1"/>
  <c r="D9" i="1"/>
  <c r="C9" i="1"/>
  <c r="CY8" i="1"/>
  <c r="DY6" i="1"/>
  <c r="DW6" i="1"/>
  <c r="DU6" i="1"/>
  <c r="DR6" i="1"/>
  <c r="DP6" i="1"/>
  <c r="CY6" i="1"/>
  <c r="BP6" i="1"/>
  <c r="BI6" i="1"/>
  <c r="EY5" i="1"/>
  <c r="DY5" i="1"/>
  <c r="DW5" i="1"/>
  <c r="DU5" i="1"/>
  <c r="DR5" i="1"/>
  <c r="DP5" i="1"/>
  <c r="DN5" i="1"/>
  <c r="BR5" i="1"/>
  <c r="BP5" i="1"/>
  <c r="BN5" i="1"/>
  <c r="BL5" i="1"/>
  <c r="BI5" i="1"/>
  <c r="AV5" i="1"/>
  <c r="AU5" i="1"/>
  <c r="AT5" i="1"/>
  <c r="AS5" i="1"/>
  <c r="AR5" i="1"/>
  <c r="EY4" i="1"/>
  <c r="DY4" i="1"/>
  <c r="DW4" i="1"/>
  <c r="DU4" i="1"/>
  <c r="DR4" i="1"/>
  <c r="DP4" i="1"/>
  <c r="DN4" i="1"/>
  <c r="BR4" i="1"/>
  <c r="BP4" i="1"/>
  <c r="BN4" i="1"/>
  <c r="BL4" i="1"/>
  <c r="BI4" i="1"/>
  <c r="FX3" i="1"/>
  <c r="FW3" i="1" s="1"/>
  <c r="EY3" i="1"/>
  <c r="DY3" i="1"/>
  <c r="DW3" i="1"/>
  <c r="DU3" i="1"/>
  <c r="DZ2" i="1" s="1"/>
  <c r="DR3" i="1"/>
  <c r="DP3" i="1"/>
  <c r="DN3" i="1"/>
  <c r="BR3" i="1"/>
  <c r="BP3" i="1"/>
  <c r="BN3" i="1"/>
  <c r="BL3" i="1"/>
  <c r="BI3" i="1"/>
  <c r="FX2" i="1"/>
  <c r="FW2" i="1" s="1"/>
  <c r="EY2" i="1"/>
  <c r="DY2" i="1"/>
  <c r="DW2" i="1"/>
  <c r="DU2" i="1"/>
  <c r="DR2" i="1"/>
  <c r="DP2" i="1"/>
  <c r="DN2" i="1"/>
  <c r="BR2" i="1"/>
  <c r="BP2" i="1"/>
  <c r="FZ1" i="1"/>
  <c r="FX1" i="1"/>
  <c r="FW1" i="1"/>
  <c r="EY1" i="1"/>
  <c r="DW1" i="1"/>
  <c r="DU1" i="1"/>
  <c r="AE3" i="1" l="1"/>
  <c r="AE2" i="1"/>
  <c r="D6" i="1"/>
  <c r="AE5" i="1"/>
  <c r="D4" i="1"/>
  <c r="AE4" i="1"/>
  <c r="FW4" i="1"/>
  <c r="D3" i="1"/>
  <c r="D5" i="1"/>
  <c r="D2" i="1"/>
  <c r="E2" i="1" l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Y9" authorId="0" shapeId="0" xr:uid="{00000000-0006-0000-0000-000001000000}">
      <text>
        <r>
          <rPr>
            <sz val="10"/>
            <color rgb="FF000000"/>
            <rFont val="Arial"/>
            <scheme val="minor"/>
          </rPr>
          <t>FECHA ENTREGA INGENIERIA A PRODUCCION</t>
        </r>
      </text>
    </comment>
    <comment ref="CD10" authorId="0" shapeId="0" xr:uid="{00000000-0006-0000-0000-000002000000}">
      <text>
        <r>
          <rPr>
            <sz val="10"/>
            <color rgb="FF000000"/>
            <rFont val="Arial"/>
            <scheme val="minor"/>
          </rPr>
          <t>no hay info de forro</t>
        </r>
      </text>
    </comment>
  </commentList>
</comments>
</file>

<file path=xl/sharedStrings.xml><?xml version="1.0" encoding="utf-8"?>
<sst xmlns="http://schemas.openxmlformats.org/spreadsheetml/2006/main" count="668" uniqueCount="471">
  <si>
    <t>JENNIFER CHANTRE</t>
  </si>
  <si>
    <t>JULIANA PARRA</t>
  </si>
  <si>
    <t xml:space="preserve">EN PROCESO </t>
  </si>
  <si>
    <t>12. INGENIERIA</t>
  </si>
  <si>
    <t>REF APROBADAS</t>
  </si>
  <si>
    <t xml:space="preserve"> </t>
  </si>
  <si>
    <t>MOD. DE ARTE</t>
  </si>
  <si>
    <t>SOLIDO</t>
  </si>
  <si>
    <t>SI</t>
  </si>
  <si>
    <t>CORTE</t>
  </si>
  <si>
    <t>APLICA</t>
  </si>
  <si>
    <t>DESCOLE</t>
  </si>
  <si>
    <t>AJUSTE DE MOÑOS</t>
  </si>
  <si>
    <t>ANDREA JACOME</t>
  </si>
  <si>
    <t>KELLY MITROVICH</t>
  </si>
  <si>
    <t>MARIA DEL MAR ORDOÑEZ</t>
  </si>
  <si>
    <t>ENTREGADO DIS TECN</t>
  </si>
  <si>
    <t>JULIANA PAI</t>
  </si>
  <si>
    <t>NIDIA ERAZO</t>
  </si>
  <si>
    <t>REF PAQUETE COMPLETO</t>
  </si>
  <si>
    <t>UBI. EN TRAZO</t>
  </si>
  <si>
    <t>MENOR</t>
  </si>
  <si>
    <t>SEMIELABORADO</t>
  </si>
  <si>
    <t>NA</t>
  </si>
  <si>
    <t>ALL OVER</t>
  </si>
  <si>
    <t>NO</t>
  </si>
  <si>
    <t>NO APLICA</t>
  </si>
  <si>
    <t xml:space="preserve">DRAPEADO </t>
  </si>
  <si>
    <t>PUNTADAS ESPECIALES</t>
  </si>
  <si>
    <t>CRISTIAN GOMEZ</t>
  </si>
  <si>
    <t>LUZ KARIME MOLINA</t>
  </si>
  <si>
    <t>OSMAN LOPEZ</t>
  </si>
  <si>
    <t>ENTREGADO DIS CREAT HACER CONS</t>
  </si>
  <si>
    <t>MAYRA PRECIADO</t>
  </si>
  <si>
    <t>REF EN PROCESO</t>
  </si>
  <si>
    <t>TERMINADO EN TALLER PARA COSTEO</t>
  </si>
  <si>
    <t>ENTREGABLE CREATIVO</t>
  </si>
  <si>
    <t>ENTREGABLE TECNICO</t>
  </si>
  <si>
    <t>ENTREGABLE TRAZADOR</t>
  </si>
  <si>
    <t>INTERMEDIO</t>
  </si>
  <si>
    <t>EN PRENDA</t>
  </si>
  <si>
    <t>MODIFICACIÓN DE ARTE</t>
  </si>
  <si>
    <t>REVISAR/PEQCAMBIOS</t>
  </si>
  <si>
    <t>NO TOCAR CASILLA</t>
  </si>
  <si>
    <t>CONFECCIÓN</t>
  </si>
  <si>
    <t xml:space="preserve">PRENSES </t>
  </si>
  <si>
    <t>POSICIÓN DE BOLEROS</t>
  </si>
  <si>
    <t>CAMILA VILLEGAS</t>
  </si>
  <si>
    <t>MARISOL RIASCOS</t>
  </si>
  <si>
    <t>YAMILETH ROSERO</t>
  </si>
  <si>
    <t>REVISAR</t>
  </si>
  <si>
    <t>ANDRI RENGIFO</t>
  </si>
  <si>
    <t>REF CANCELADAS CORTADAS</t>
  </si>
  <si>
    <t>ALL OVER CON ORIENTACION</t>
  </si>
  <si>
    <t>NO TOCAR ESTAS COLUMNAS</t>
  </si>
  <si>
    <t>CRITICO</t>
  </si>
  <si>
    <t>UBICACIÓN EN TRAZO</t>
  </si>
  <si>
    <t>SI VARIACIÓN</t>
  </si>
  <si>
    <t xml:space="preserve">BAÑO DE TOP </t>
  </si>
  <si>
    <t>DESCOLE DE BOLEROS</t>
  </si>
  <si>
    <t>KAROLIN CUMBAL</t>
  </si>
  <si>
    <t>CLAUDIA DUQUE</t>
  </si>
  <si>
    <t>MARIA ISABEL BURGOS</t>
  </si>
  <si>
    <t>ENTREGADO CREAT NO HACER TECN</t>
  </si>
  <si>
    <t>REF CANCELADAS SIN CORTAR</t>
  </si>
  <si>
    <t>PAQ. COMPLETO</t>
  </si>
  <si>
    <t>UBICACIÓN DE INSUMOS</t>
  </si>
  <si>
    <t>RESORTADO</t>
  </si>
  <si>
    <t>LINA DELGADO</t>
  </si>
  <si>
    <t>MARGARITA OLIVO</t>
  </si>
  <si>
    <t>PROCESOS ADICIONALES</t>
  </si>
  <si>
    <t>COSTEO</t>
  </si>
  <si>
    <t>EQUIPO DE CUIDADOS</t>
  </si>
  <si>
    <t>UNIDADES DE PRODUCCION</t>
  </si>
  <si>
    <t>ENTREGABLES A PLANTA PRODUCCIÓN</t>
  </si>
  <si>
    <t>COMENTARIOS FEEBACK</t>
  </si>
  <si>
    <t>MOLDERIA</t>
  </si>
  <si>
    <t>PROCESOS EXTERNOS</t>
  </si>
  <si>
    <t>CONFECCION</t>
  </si>
  <si>
    <t xml:space="preserve"> MEDICIÓN</t>
  </si>
  <si>
    <t>ENTREGABLE</t>
  </si>
  <si>
    <t>FICHAS TECNICAS PRODUCCION</t>
  </si>
  <si>
    <t>STATUS CONTRAMUESTRA</t>
  </si>
  <si>
    <t>ENTREGABLES</t>
  </si>
  <si>
    <t>CONTRAMUESTRAS</t>
  </si>
  <si>
    <t>FEEDBACK DE PRODUCCIÓN</t>
  </si>
  <si>
    <t>REFERENTES</t>
  </si>
  <si>
    <t>STATUS DE COLECCION</t>
  </si>
  <si>
    <t>INCLUDES</t>
  </si>
  <si>
    <t>TELA DE LUCIR</t>
  </si>
  <si>
    <t>VARIACION DE COLOR</t>
  </si>
  <si>
    <t>EMPAQUES</t>
  </si>
  <si>
    <t>BORDADO EN PRENDA</t>
  </si>
  <si>
    <t>SEMIELABORADOS</t>
  </si>
  <si>
    <t>PROCESO EXTERNO</t>
  </si>
  <si>
    <t>TELAS</t>
  </si>
  <si>
    <t>INSUMOS</t>
  </si>
  <si>
    <t>BORDADO</t>
  </si>
  <si>
    <t>TOTAL</t>
  </si>
  <si>
    <t xml:space="preserve">TIME COLLECTION </t>
  </si>
  <si>
    <t>VALIDACIÓN DE MP</t>
  </si>
  <si>
    <t>COMPOSICIONES MUESTRA COLECCION</t>
  </si>
  <si>
    <t>COMPOSICIONES PRODUCCIÓN</t>
  </si>
  <si>
    <t>COMEX</t>
  </si>
  <si>
    <t>CUIDADOS PRENDA</t>
  </si>
  <si>
    <t>MAQUILA</t>
  </si>
  <si>
    <t>PROCESO DE MONTAJE EN MANIQUIE</t>
  </si>
  <si>
    <t>DISEÑADOR DE CONTRAMUESTRA</t>
  </si>
  <si>
    <t>DISEÑADOR@S TECNIC@S</t>
  </si>
  <si>
    <t xml:space="preserve">CORTE DE CONTRAMUESTRAS </t>
  </si>
  <si>
    <t>TRAZABILIDAD DE AHORRO</t>
  </si>
  <si>
    <t xml:space="preserve">CONFECCIÓN DE CONTRAMUESTRAS </t>
  </si>
  <si>
    <t>STATUS CONFECCIÓN</t>
  </si>
  <si>
    <t>SITUACIONES DE CONFECCIÓN</t>
  </si>
  <si>
    <r>
      <rPr>
        <b/>
        <sz val="10"/>
        <color rgb="FF434343"/>
        <rFont val="Calibri"/>
      </rPr>
      <t xml:space="preserve">SITUACIONES DE CONFECCIÓN        
 </t>
    </r>
    <r>
      <rPr>
        <b/>
        <sz val="10"/>
        <color rgb="FF434343"/>
        <rFont val="Calibri"/>
      </rPr>
      <t>(DIS. TECNICO)</t>
    </r>
  </si>
  <si>
    <t>TIEMPO DE CONFECCIÓN ING</t>
  </si>
  <si>
    <t>CALIDAD DE CONFECCIÓN</t>
  </si>
  <si>
    <t>SUPERVISORA TALLER</t>
  </si>
  <si>
    <t>EQUIPO FICHAS TÉCNICAS</t>
  </si>
  <si>
    <t>COORDINADOR DISEÑO TECNICO</t>
  </si>
  <si>
    <t xml:space="preserve">LIDER ESCALADO </t>
  </si>
  <si>
    <t>EQUIPO FICHAS A ING</t>
  </si>
  <si>
    <t>INGENIERIA</t>
  </si>
  <si>
    <t>EQUIPO BODEGA CONTRAMUESTRAS</t>
  </si>
  <si>
    <t>.</t>
  </si>
  <si>
    <t>ESCALADO</t>
  </si>
  <si>
    <t>FICHA DE ESPECIFICACIÓN</t>
  </si>
  <si>
    <t>CONSUMOS</t>
  </si>
  <si>
    <t>COMPRAS, CALIDAD, MAQUILA, COSTEO</t>
  </si>
  <si>
    <t>AUDACES</t>
  </si>
  <si>
    <t xml:space="preserve">  REF</t>
  </si>
  <si>
    <t>IMAGEN</t>
  </si>
  <si>
    <t>FOTO BASADO EN</t>
  </si>
  <si>
    <t>PT</t>
  </si>
  <si>
    <t xml:space="preserve"> BASADO EN</t>
  </si>
  <si>
    <t>STATUS TALLER</t>
  </si>
  <si>
    <t>MODISTA</t>
  </si>
  <si>
    <t>FOTOS INTERNAS</t>
  </si>
  <si>
    <t>FOTO TELA</t>
  </si>
  <si>
    <t>ENVIO DE MOD DE ARTE</t>
  </si>
  <si>
    <t>ESPECIFICACION DE CONFECCION #1</t>
  </si>
  <si>
    <t>ESCALADO MOLDERIA #1</t>
  </si>
  <si>
    <t>TIRAS CONTINUAS</t>
  </si>
  <si>
    <t>DIFICULTAD DE PRENDA</t>
  </si>
  <si>
    <t>DIFICULTAD DE BORDADO</t>
  </si>
  <si>
    <t>PRIORIDADES FIRST BUY</t>
  </si>
  <si>
    <t>PRIORIDADES  BORDADO</t>
  </si>
  <si>
    <t>BORDADO (SEMIELABORADO/EN PRENDA)</t>
  </si>
  <si>
    <t xml:space="preserve">PRIORIDADES TEXTIL STOCK </t>
  </si>
  <si>
    <t>COMENTARIOS INGENIERIA</t>
  </si>
  <si>
    <t>COMENTARIOS TRAZO</t>
  </si>
  <si>
    <t>COMENTARIOS COSTEO</t>
  </si>
  <si>
    <t>SUGERENCIA MOD/UBC</t>
  </si>
  <si>
    <t xml:space="preserve">REQUIERE MUESTRA SI /NO </t>
  </si>
  <si>
    <t>GRUPO/ ESTILO</t>
  </si>
  <si>
    <t>FECHA</t>
  </si>
  <si>
    <t>AREA DE AFECTACIÓN</t>
  </si>
  <si>
    <t>CLASIFICACIÓN DEL HALLAZGO</t>
  </si>
  <si>
    <t>MP</t>
  </si>
  <si>
    <t>CLASIFICACIÓN DE MP</t>
  </si>
  <si>
    <t>TIPO DE EJECUCIÓN</t>
  </si>
  <si>
    <t>INFORMACION SAP</t>
  </si>
  <si>
    <t>DESCIPTION USA-UK</t>
  </si>
  <si>
    <t xml:space="preserve">FIBER COMPOSITION
</t>
  </si>
  <si>
    <t>WOVEN</t>
  </si>
  <si>
    <t>INSIDE</t>
  </si>
  <si>
    <t>INCLUDE</t>
  </si>
  <si>
    <t>OBSERVACIONES</t>
  </si>
  <si>
    <t>PROCESO</t>
  </si>
  <si>
    <t>LAVADO</t>
  </si>
  <si>
    <t>LOGO DE LAVADO</t>
  </si>
  <si>
    <t>DESMANCHE</t>
  </si>
  <si>
    <t>LOGO DE DESMANCHE</t>
  </si>
  <si>
    <t>SECADO</t>
  </si>
  <si>
    <t>LOGO DE SECADO</t>
  </si>
  <si>
    <t>PLANCHADO</t>
  </si>
  <si>
    <t>LOGO DE PLANCHA</t>
  </si>
  <si>
    <t>CUIDADOS INCLUDES PRENDA</t>
  </si>
  <si>
    <t>TIPO DE TEJIDO</t>
  </si>
  <si>
    <t>NIVEL DE COMPLEJIDAD EN CORTE</t>
  </si>
  <si>
    <t>ENVIO DE CORTE A MAQUILAS</t>
  </si>
  <si>
    <t>NIVEL DE COMPLEJIDAD EN CONFECCIÓN</t>
  </si>
  <si>
    <t>ENVIO DE CONFECCIÓN A MAQUILAS</t>
  </si>
  <si>
    <t>TIPO DE MONTAJE EN MANIQUIE</t>
  </si>
  <si>
    <t>PROYECTO DE MONTAJE EN MANIQUIE</t>
  </si>
  <si>
    <t>DISEÑADOR TECNIC@</t>
  </si>
  <si>
    <t>DISEÑADOR CREATIVO</t>
  </si>
  <si>
    <t>FECHA DE INICIO MOLDERIA</t>
  </si>
  <si>
    <t>FECHA DE FINALIZACION MOLDERIA</t>
  </si>
  <si>
    <t>COMENTARIOS HALLAZGOS MOLDERIA</t>
  </si>
  <si>
    <t>TIPO DE PROCESO EXTERNO</t>
  </si>
  <si>
    <t>FECHA RECEPCION PIEZA</t>
  </si>
  <si>
    <t>FECHA ENTREGA PIEZA</t>
  </si>
  <si>
    <t>STATUS DEL PROCESO</t>
  </si>
  <si>
    <t>FECHA CORTE #1</t>
  </si>
  <si>
    <t>TIPO DE CORTE</t>
  </si>
  <si>
    <t>FECHA CORTE</t>
  </si>
  <si>
    <t>FECHA CORTE #3</t>
  </si>
  <si>
    <t>FECHA CORTE #4</t>
  </si>
  <si>
    <t>OBSERVACIONES DE CORTE</t>
  </si>
  <si>
    <t xml:space="preserve">TOTAL CORTES DE PIEZAS </t>
  </si>
  <si>
    <t>TOTAL CORTES DE MUESTRAS</t>
  </si>
  <si>
    <t>FECHA INICIO CONFECCION</t>
  </si>
  <si>
    <t>FECHA DE ENTREGA CONFECCION</t>
  </si>
  <si>
    <t>ESTADO</t>
  </si>
  <si>
    <t>OBSERVACIONES DE CONFECCIÓN DE CONTRAMUESTRAS</t>
  </si>
  <si>
    <t>SITUACIÓN: OBSERVACIONES E INCONFORMIDADES DE CONFECCIÓN DE CONTRAMUESTRAS</t>
  </si>
  <si>
    <t>OBSERVACIONES E INCONFORMIDADES DE CONFECCIÓN DE CONTRAMUESTRAS</t>
  </si>
  <si>
    <t>PROGRAMACIÓN ZA</t>
  </si>
  <si>
    <t>MEDICIÓN FASE I</t>
  </si>
  <si>
    <t>COMENTARIOS MEDICIÓN I</t>
  </si>
  <si>
    <t xml:space="preserve">MEDICIÓN FASE II </t>
  </si>
  <si>
    <t>COMENTARIOS MEDICIÓN II</t>
  </si>
  <si>
    <t>MEDICIÓN FASE III</t>
  </si>
  <si>
    <t>MEDICIÓN FASE 4</t>
  </si>
  <si>
    <t>COMENTARIOS FASE 4</t>
  </si>
  <si>
    <t>MEDICIÓN FASE 5</t>
  </si>
  <si>
    <t>COMENTARIOS FASE 5</t>
  </si>
  <si>
    <t>FOTO CONTRAMUESTRA</t>
  </si>
  <si>
    <t>REVISIÓN</t>
  </si>
  <si>
    <t>CLASIFICACIÓN</t>
  </si>
  <si>
    <t>FECHA ENTREGA A FICHA</t>
  </si>
  <si>
    <t>ESPECIFICADORA</t>
  </si>
  <si>
    <t>INICIO DE ESPECIFICACIÓN</t>
  </si>
  <si>
    <t>REVISIÓN DE MATERIALES (INSUMOS-SAP)</t>
  </si>
  <si>
    <t>ENTREGA FICHA DE BORDADO</t>
  </si>
  <si>
    <t>FECHA ENTREGA FICHAS DE BORDADO</t>
  </si>
  <si>
    <t>FINAL DE ESPECIFICACIÓN</t>
  </si>
  <si>
    <t>PRIORIDAD CONTRAMUESTRAS</t>
  </si>
  <si>
    <t>FECHA META DE ENTREGA</t>
  </si>
  <si>
    <t>DROPS</t>
  </si>
  <si>
    <t>FECHA LIBERACIÓN DISEÑO A INGENIERIA</t>
  </si>
  <si>
    <t>FECHA LIBERACION ING A PRODUCCION</t>
  </si>
  <si>
    <t>UNIDADES CORTADAS</t>
  </si>
  <si>
    <t>NOMBRE CONTRAMUESTRA</t>
  </si>
  <si>
    <t>TALLA</t>
  </si>
  <si>
    <t>DESCRIPCIÓN DE COLOR</t>
  </si>
  <si>
    <t>REPROGRAMACION DE CONTRAMUESTRA</t>
  </si>
  <si>
    <t>CODIGO OT</t>
  </si>
  <si>
    <t>NOTA</t>
  </si>
  <si>
    <t>GESTION DE NOTA</t>
  </si>
  <si>
    <t>FECHA TRASLADO SAP</t>
  </si>
  <si>
    <t>FECHA DESPACHO A ZF</t>
  </si>
  <si>
    <t>LIBERACIÓN DE FICHA FISICA</t>
  </si>
  <si>
    <t>HALLAZGO DE LA REPROGRAMACIÓN</t>
  </si>
  <si>
    <t>CLASIFICACIÓN DE SITUACIONES EN PRODUCCIÓN</t>
  </si>
  <si>
    <t>TIPO DE SITUACIÓN EN PLANTA</t>
  </si>
  <si>
    <t>VARIABLES</t>
  </si>
  <si>
    <t xml:space="preserve">
OBSERVACIONES</t>
  </si>
  <si>
    <t>AREA ENCARGADA</t>
  </si>
  <si>
    <t>CORRECCIÓN REALIZADA</t>
  </si>
  <si>
    <t>SITUACION EN CORTE</t>
  </si>
  <si>
    <t>WATER ADVENTURE ANKLE DRESS SV25</t>
  </si>
  <si>
    <t>TERMINADO</t>
  </si>
  <si>
    <t>LUCY RAMOS</t>
  </si>
  <si>
    <t>OK FOTO EN AUDACES</t>
  </si>
  <si>
    <t>ok</t>
  </si>
  <si>
    <t>NUEVO</t>
  </si>
  <si>
    <t>SUBIDO A SAP</t>
  </si>
  <si>
    <t>WOMEN ANKLE DRESS IN WOVEN FABRIC</t>
  </si>
  <si>
    <t>100% LINEN</t>
  </si>
  <si>
    <t>100% VISCOSE</t>
  </si>
  <si>
    <t>PLANO</t>
  </si>
  <si>
    <t>INTERMEDIA</t>
  </si>
  <si>
    <t>LUISA  HERNANDEZ</t>
  </si>
  <si>
    <t>F</t>
  </si>
  <si>
    <t>3. CONFECCION</t>
  </si>
  <si>
    <t>TALLA 8</t>
  </si>
  <si>
    <t>OT02801</t>
  </si>
  <si>
    <t>ECRU SEA SPRITE BIKINI TOP WS25</t>
  </si>
  <si>
    <t>FANNY GOMEZ</t>
  </si>
  <si>
    <t>REF 20 PT03410 SHIMERING GREEN SEA BIKINI TOP WS26  (REFERENTE CON LOS CAMBIOS DEL CORTE EN FRAMILON Y BASE + FORRO SUPERIOR)
1. OJO ESTA REFERENCIA VAMOS A REVISAR UN NUEVO PARAMETRO. SI SE TRABAJA SIN BASE PARA COLORES OSCUROS Y SOLO CON BASE PARA COLORES CLAROS, SI VA EN LUCIR Y DEBE DE QUEDAR DENTRO DE LA MOD DE ARTE/O UBICACIÓN EN TRAZO POR EL COLORIDO. REVISAR CON ELI CONFEECIÓN DE REF 119 WS26</t>
  </si>
  <si>
    <t xml:space="preserve">REF 20 PT03410 SHIMERING GREEN SEA BIKINI TOP WS26  </t>
  </si>
  <si>
    <t>REF 20 PT03410 SHIMERING GREEN SEA BIKINI TOP WS26  
(REFERENTE CON LOS CAMBIOS DEL CORTE EN FRAMILON Y BASE + FORRO SUPERIOR)</t>
  </si>
  <si>
    <t>WOMEN BIKINI TOP KNITTED</t>
  </si>
  <si>
    <t>75% POLYESTER
16% POLYAMIDE
9% ELASTANE</t>
  </si>
  <si>
    <t>KNITTED</t>
  </si>
  <si>
    <t>compras</t>
  </si>
  <si>
    <t>85% RECYCLED POLYESTER
15% ELASTANE</t>
  </si>
  <si>
    <t>N/A</t>
  </si>
  <si>
    <t>HAND WASH COLD, WASH WITH SIMILAR COLORS
 TEMPERATURE 30°
 DO NOT WRING</t>
  </si>
  <si>
    <t>DO NOT BLEACH</t>
  </si>
  <si>
    <t>DO NOT TUMBLE DRY</t>
  </si>
  <si>
    <t>DO NOT IRON</t>
  </si>
  <si>
    <t>PUNTO</t>
  </si>
  <si>
    <t>BAJA</t>
  </si>
  <si>
    <t>ALTA</t>
  </si>
  <si>
    <t>JIMENA BORJA</t>
  </si>
  <si>
    <t>MEDICION #1</t>
  </si>
  <si>
    <t>MAYRA PREACIADO</t>
  </si>
  <si>
    <t>SEMANA DE CORTE PRIORIDAD (PLANEACIÓN)</t>
  </si>
  <si>
    <t>A</t>
  </si>
  <si>
    <t>14. ENTREGADO A PRODUCCIÓN</t>
  </si>
  <si>
    <t>OT SHIMMERING LIGHT OCHRE SEA SPRITE BIKINI TOP</t>
  </si>
  <si>
    <t>TALLA M</t>
  </si>
  <si>
    <t>OT02802</t>
  </si>
  <si>
    <t>PALMS BLACK/SAND TAITA BIKINI BOTTOM WS26</t>
  </si>
  <si>
    <t xml:space="preserve">LLEVA ZIC ZAC EN POSTERIOR </t>
  </si>
  <si>
    <t xml:space="preserve">REF 60 PT02703 MILITARY MARINERA BIKINI BOTTOM WS25
1. SI TIENE ZURCIDO EN CENTRO POSTERIOR. 
</t>
  </si>
  <si>
    <t xml:space="preserve">REF 60 PT02703 MILITARY MARINERA BIKINI BOTTOM WS25 </t>
  </si>
  <si>
    <t>REF 60 PT02703 MILITARY MARINERA BIKINI BOTTOM WS25</t>
  </si>
  <si>
    <t>WOMEN BIKINI BOTTOM KNITTED</t>
  </si>
  <si>
    <t>85% RECYCLED POLYESTER
 15% ELASTANE</t>
  </si>
  <si>
    <t>B</t>
  </si>
  <si>
    <t xml:space="preserve"> REF 45 PT02129 BLACK TAITA BIKINI BOTTOM SV24 
OT01548</t>
  </si>
  <si>
    <t>OT01548</t>
  </si>
  <si>
    <t>ZF</t>
  </si>
  <si>
    <t>prenda fisica en zfp</t>
  </si>
  <si>
    <t>#REF!</t>
  </si>
  <si>
    <t>ESTADO DE PRENDA CALIDAD (PLANTA DE PRODUCCIÓN)</t>
  </si>
  <si>
    <t>TIPO DE RECHAZO 
DE CALIDAD EN PLANTA DE PRODUCCIÓN</t>
  </si>
  <si>
    <t>FEEDBACK DE COMENTARIOS DE CALIDAD EN PLANTA DE PRODUCCIÓN</t>
  </si>
  <si>
    <t>EN PROCESO</t>
  </si>
  <si>
    <t>CANCELADO CORTADO</t>
  </si>
  <si>
    <t>APROBADO</t>
  </si>
  <si>
    <t>CANCELADO SIN CORTAR</t>
  </si>
  <si>
    <t>SE RETOMA EN LA PROXIMA COLECCIÓN</t>
  </si>
  <si>
    <t>PAQUETE COMPLETO</t>
  </si>
  <si>
    <t>CANCELADO PAQUETE COMPLETO</t>
  </si>
  <si>
    <t>CANCELADO SE RETOMA PARA UNA CAPSULA</t>
  </si>
  <si>
    <t>SIN ASIGNAR TELA</t>
  </si>
  <si>
    <t>EN ESPERA MATERIA PRIMA</t>
  </si>
  <si>
    <t>CANCELADO CORTADO PARA RETACEAR</t>
  </si>
  <si>
    <t>CANCELADO CORTADO SE LO QUEDA JO</t>
  </si>
  <si>
    <t>CANCELADO ES PERSONAL DE JO</t>
  </si>
  <si>
    <t>SE RETOMA EN LA PROXIMA COLECCIÓN PF26</t>
  </si>
  <si>
    <t>SE RETOMA EN LA PROXIMA COLECCIÓN SV26</t>
  </si>
  <si>
    <t>STATUS</t>
  </si>
  <si>
    <t>DISEÑADOR</t>
  </si>
  <si>
    <t>CLAUDIA</t>
  </si>
  <si>
    <t>MARIA DEL MAR</t>
  </si>
  <si>
    <t>OSMAN</t>
  </si>
  <si>
    <t>YAMILET</t>
  </si>
  <si>
    <t>MARGARITA</t>
  </si>
  <si>
    <t>BURGOS</t>
  </si>
  <si>
    <t>FER</t>
  </si>
  <si>
    <t>PEND X MODISTA</t>
  </si>
  <si>
    <t>MONTAJE EN MANIQUIE</t>
  </si>
  <si>
    <t>MEDICION</t>
  </si>
  <si>
    <t>ARREGLO DISEÑADO PARA TERMINAR</t>
  </si>
  <si>
    <t>ARREGLO EN CONFECCION</t>
  </si>
  <si>
    <t>BORDADO EN PROCESO</t>
  </si>
  <si>
    <t>BORDADO FINAL</t>
  </si>
  <si>
    <t>MANUALIDAD FINAL</t>
  </si>
  <si>
    <t>PEND INSUMO</t>
  </si>
  <si>
    <t>POR TERMINAR</t>
  </si>
  <si>
    <t>ARREGLO DISEÑADOR</t>
  </si>
  <si>
    <t>ARREGLO DISEÑADOR #2</t>
  </si>
  <si>
    <t>CONFECCION 2da PRENDA</t>
  </si>
  <si>
    <t>TERMINADO PEND X MARQUILLA</t>
  </si>
  <si>
    <t>TERMINACION EN CONFECCION</t>
  </si>
  <si>
    <t>PEND X DEFINIR</t>
  </si>
  <si>
    <t>SIN TOCAR</t>
  </si>
  <si>
    <t>CALIDAD</t>
  </si>
  <si>
    <t>CANCELADO</t>
  </si>
  <si>
    <t>KAREN RENGIFO</t>
  </si>
  <si>
    <t>SINDY VAZQUEZ</t>
  </si>
  <si>
    <t>ISABEL VALENCIA</t>
  </si>
  <si>
    <t>LUISA BUITRAGO</t>
  </si>
  <si>
    <t>SONIA QUIÑONEZ</t>
  </si>
  <si>
    <t>LUZ MARY MORALES</t>
  </si>
  <si>
    <t>MARTA RAMIREZ</t>
  </si>
  <si>
    <t>ADRIANA ESCOBAR</t>
  </si>
  <si>
    <t>YULEIMI LUCUMI</t>
  </si>
  <si>
    <t>OK FOTO PRENDA</t>
  </si>
  <si>
    <t>NO ALCANZO FOTO</t>
  </si>
  <si>
    <t>LINEA</t>
  </si>
  <si>
    <t>DRESSES</t>
  </si>
  <si>
    <t>SKIRTS</t>
  </si>
  <si>
    <t>TOPS</t>
  </si>
  <si>
    <t>OUTWEAR</t>
  </si>
  <si>
    <t>SWIMWEAR</t>
  </si>
  <si>
    <t>PANTS</t>
  </si>
  <si>
    <t>JUMPSUIT</t>
  </si>
  <si>
    <t>TUNIC</t>
  </si>
  <si>
    <t>SUBLINEA</t>
  </si>
  <si>
    <t>ANKLE</t>
  </si>
  <si>
    <t>TOP</t>
  </si>
  <si>
    <t>T-SHIRT</t>
  </si>
  <si>
    <t>SHIRT</t>
  </si>
  <si>
    <t>CROP TOP</t>
  </si>
  <si>
    <t>MIDI</t>
  </si>
  <si>
    <t>MINI</t>
  </si>
  <si>
    <t>MAXI</t>
  </si>
  <si>
    <t>JACKET</t>
  </si>
  <si>
    <t>PANT</t>
  </si>
  <si>
    <t>WRAP</t>
  </si>
  <si>
    <t>KIMONO</t>
  </si>
  <si>
    <t>COAT</t>
  </si>
  <si>
    <t>BODYSUIT</t>
  </si>
  <si>
    <t>BIKINI BOTTOM</t>
  </si>
  <si>
    <t>BIKINI TOP</t>
  </si>
  <si>
    <t>SHIRTDRESS</t>
  </si>
  <si>
    <t>VEST</t>
  </si>
  <si>
    <t>CARDIGAN</t>
  </si>
  <si>
    <t>TRENCHCOAT</t>
  </si>
  <si>
    <t>SHORT</t>
  </si>
  <si>
    <t>ONEPIECE</t>
  </si>
  <si>
    <t>PONCHO</t>
  </si>
  <si>
    <t>POLO</t>
  </si>
  <si>
    <t>SWEATER</t>
  </si>
  <si>
    <t>CAPE</t>
  </si>
  <si>
    <t>TIPO REF</t>
  </si>
  <si>
    <t>DS</t>
  </si>
  <si>
    <t>PS</t>
  </si>
  <si>
    <t>TP</t>
  </si>
  <si>
    <t>OW</t>
  </si>
  <si>
    <t>SW</t>
  </si>
  <si>
    <t>SK</t>
  </si>
  <si>
    <t>JP</t>
  </si>
  <si>
    <t>TN</t>
  </si>
  <si>
    <t>TALLAJE</t>
  </si>
  <si>
    <t>0-2-4-6-8-10-12</t>
  </si>
  <si>
    <t>0-2-4-6-8</t>
  </si>
  <si>
    <t>XS-S-M-L-XL</t>
  </si>
  <si>
    <t>S-M-L</t>
  </si>
  <si>
    <t>LARGO</t>
  </si>
  <si>
    <t>MINI 39CM</t>
  </si>
  <si>
    <t>MINI 41CM</t>
  </si>
  <si>
    <t>MIDI 92CM</t>
  </si>
  <si>
    <t>ANKLE 95CM</t>
  </si>
  <si>
    <t>KIMONO 100CM</t>
  </si>
  <si>
    <t>FLATS 112CM</t>
  </si>
  <si>
    <t>MAXI 115CM</t>
  </si>
  <si>
    <t>FLATS MAXI 103</t>
  </si>
  <si>
    <t>PANTS 102CM</t>
  </si>
  <si>
    <t>PANTS 98CM</t>
  </si>
  <si>
    <t>CLOSURE</t>
  </si>
  <si>
    <t>SLIP ON</t>
  </si>
  <si>
    <t>SLIP ON AND WRAP AROUND</t>
  </si>
  <si>
    <t>BACK ZIPPER</t>
  </si>
  <si>
    <t>FRONT ZIPPER</t>
  </si>
  <si>
    <t>SIDE ZIPPER</t>
  </si>
  <si>
    <t>FRONT BUTTONS</t>
  </si>
  <si>
    <t>BUTTONS</t>
  </si>
  <si>
    <t>SNAPS</t>
  </si>
  <si>
    <t>WRAP AROUND</t>
  </si>
  <si>
    <t>TIE AT BACK</t>
  </si>
  <si>
    <t>TIE AT FRONT</t>
  </si>
  <si>
    <t>TIE AT SIDE</t>
  </si>
  <si>
    <t>MAGNET</t>
  </si>
  <si>
    <t>PUT ON</t>
  </si>
  <si>
    <t>HOLD ON</t>
  </si>
  <si>
    <t>ADJUSTABLE STRAP</t>
  </si>
  <si>
    <t>WITH BELT</t>
  </si>
  <si>
    <t>EMBROIDERED</t>
  </si>
  <si>
    <t>WITH SCARF</t>
  </si>
  <si>
    <t>BASE TEXTIL</t>
  </si>
  <si>
    <t>LINEN</t>
  </si>
  <si>
    <t>LINGHT LINEN</t>
  </si>
  <si>
    <t>CRINKLE LYCRA/LINEN</t>
  </si>
  <si>
    <t>RIN/LINEN</t>
  </si>
  <si>
    <t>SILK CDC</t>
  </si>
  <si>
    <t>SHINY JERSEY</t>
  </si>
  <si>
    <t>SILK DOUBLE GEORGETTE</t>
  </si>
  <si>
    <t>LUREX JACQUARD</t>
  </si>
  <si>
    <t>RAFIA JACQUARD</t>
  </si>
  <si>
    <t>OK</t>
  </si>
  <si>
    <t>PROVEEDOR EXTERNO</t>
  </si>
  <si>
    <t>PAQ COMPLETO</t>
  </si>
  <si>
    <t>SEMI-ELABORADO</t>
  </si>
  <si>
    <t>UBICACIÓN DE TRAZO</t>
  </si>
  <si>
    <t>PANTS 102 CM</t>
  </si>
  <si>
    <t>EMBALAJE CON ESPUMA SOLO EN TOP</t>
  </si>
  <si>
    <t>RECAMADO CON LENTEJUELA Y MOSTACILLA</t>
  </si>
  <si>
    <r>
      <t xml:space="preserve">1. REVISAR SI AGREGAR FALSO INTERNO EN ESCOTE 
2. CENEFA DE ESCOTE TOP Y </t>
    </r>
    <r>
      <rPr>
        <sz val="9"/>
        <color rgb="FFFF0000"/>
        <rFont val="Calibri"/>
        <family val="2"/>
      </rPr>
      <t xml:space="preserve">COSTADOS SE VE MUY FEA LA CONFECCION </t>
    </r>
    <r>
      <rPr>
        <sz val="9"/>
        <color theme="1"/>
        <rFont val="Calibri"/>
        <family val="2"/>
      </rPr>
      <t>REVISAR SI SE AGREGA EN MODIFICACION DE ARTE
3.PT03404  WS26 ECRU/GREEN WATER ADVENTURE MIDI DRESS REF 27</t>
    </r>
  </si>
  <si>
    <t>IN HOUSE</t>
  </si>
  <si>
    <t>BORLAS 4 CM CON SYLKO Y MOSTACILLAS</t>
  </si>
  <si>
    <t>MAQUILA DE CUERO
YONNY VARGAS</t>
  </si>
  <si>
    <t>1. HEBILLA $120.000
2. PEGAR PIEZAS SOBREPUESTAS Y ENTINTADO (CANTO) $85.000</t>
  </si>
  <si>
    <t>1. TIRA CONTINUA EN ESCOTE DE TOP.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</si>
</sst>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164" formatCode="d/m/yyyy"/>
    <numFmt numFmtId="165" formatCode="_-[$$-409]* #,##0_ ;_-[$$-409]* \-#,##0\ ;_-[$$-409]* &quot;-&quot;_ ;_-@_ "/>
    <numFmt numFmtId="166" formatCode="dd/mm/yyyy"/>
    <numFmt numFmtId="167" formatCode="d\-m"/>
  </numFmts>
  <fonts count="52">
    <font>
      <sz val="10"/>
      <color rgb="FF000000"/>
      <name val="Arial"/>
      <scheme val="minor"/>
    </font>
    <font>
      <sz val="10"/>
      <color theme="1"/>
      <name val="Arial"/>
    </font>
    <font>
      <sz val="11"/>
      <color rgb="FF434343"/>
      <name val="Calibri"/>
    </font>
    <font>
      <b/>
      <sz val="11"/>
      <color rgb="FF434343"/>
      <name val="Calibri"/>
    </font>
    <font>
      <sz val="10"/>
      <name val="Arial"/>
    </font>
    <font>
      <sz val="10"/>
      <color rgb="FF434343"/>
      <name val="Calibri"/>
    </font>
    <font>
      <sz val="10"/>
      <color theme="1"/>
      <name val="Avenir"/>
    </font>
    <font>
      <sz val="11"/>
      <color theme="1"/>
      <name val="Calibri"/>
    </font>
    <font>
      <b/>
      <sz val="10"/>
      <color rgb="FF434343"/>
      <name val="Calibri"/>
    </font>
    <font>
      <sz val="11"/>
      <color theme="1"/>
      <name val="Arial"/>
    </font>
    <font>
      <sz val="14"/>
      <color rgb="FF434343"/>
      <name val="Calibri"/>
    </font>
    <font>
      <b/>
      <sz val="11"/>
      <color theme="1"/>
      <name val="Calibri"/>
    </font>
    <font>
      <b/>
      <sz val="16"/>
      <color rgb="FF434343"/>
      <name val="Calibri"/>
    </font>
    <font>
      <b/>
      <sz val="21"/>
      <color rgb="FF434343"/>
      <name val="Calibri"/>
    </font>
    <font>
      <b/>
      <sz val="14"/>
      <color rgb="FF434343"/>
      <name val="Calibri"/>
    </font>
    <font>
      <b/>
      <sz val="16"/>
      <color theme="1"/>
      <name val="Calibri"/>
    </font>
    <font>
      <b/>
      <sz val="14"/>
      <color theme="1"/>
      <name val="Calibri"/>
    </font>
    <font>
      <b/>
      <sz val="13"/>
      <color theme="1"/>
      <name val="Calibri"/>
    </font>
    <font>
      <b/>
      <sz val="22"/>
      <color rgb="FF434343"/>
      <name val="Calibri"/>
    </font>
    <font>
      <b/>
      <sz val="18"/>
      <color rgb="FF434343"/>
      <name val="Calibri"/>
    </font>
    <font>
      <b/>
      <sz val="15"/>
      <color rgb="FF434343"/>
      <name val="Calibri"/>
    </font>
    <font>
      <sz val="11"/>
      <color rgb="FFFFFFFF"/>
      <name val="Calibri"/>
    </font>
    <font>
      <b/>
      <sz val="18"/>
      <color rgb="FFFFFFFF"/>
      <name val="Arial"/>
    </font>
    <font>
      <sz val="10"/>
      <color theme="1"/>
      <name val="Arial"/>
    </font>
    <font>
      <b/>
      <sz val="10"/>
      <color rgb="FF434343"/>
      <name val="Calibri"/>
    </font>
    <font>
      <b/>
      <sz val="10"/>
      <color theme="1"/>
      <name val="Arial"/>
    </font>
    <font>
      <b/>
      <sz val="10"/>
      <color theme="1"/>
      <name val="Calibri"/>
    </font>
    <font>
      <b/>
      <sz val="10"/>
      <color rgb="FFFFFFFF"/>
      <name val="Calibri"/>
    </font>
    <font>
      <sz val="10"/>
      <color theme="1"/>
      <name val="Arial"/>
      <scheme val="minor"/>
    </font>
    <font>
      <sz val="10"/>
      <color theme="1"/>
      <name val="Arial"/>
      <family val="2"/>
    </font>
    <font>
      <b/>
      <sz val="10"/>
      <color rgb="FF434343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434343"/>
      <name val="Calibri"/>
      <family val="2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434343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434343"/>
      <name val="Calibri"/>
      <family val="2"/>
    </font>
    <font>
      <sz val="9"/>
      <color rgb="FFFF0000"/>
      <name val="Calibri"/>
      <family val="2"/>
    </font>
    <font>
      <sz val="9"/>
      <color rgb="FF1F1F1F"/>
      <name val="Calibri"/>
      <family val="2"/>
    </font>
    <font>
      <sz val="9"/>
      <color theme="1"/>
      <name val="Aptos Narrow"/>
      <family val="2"/>
    </font>
    <font>
      <sz val="8"/>
      <color theme="1"/>
      <name val="Arial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u/>
      <sz val="8"/>
      <color theme="1"/>
      <name val="Calibri"/>
      <family val="2"/>
    </font>
    <font>
      <b/>
      <u/>
      <sz val="10"/>
      <color rgb="FF434343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  <fill>
      <patternFill patternType="solid">
        <fgColor rgb="FFBDBDBD"/>
        <bgColor rgb="FFBDBDBD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FBBDB"/>
        <bgColor rgb="FFFFBBDB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6007E"/>
        <bgColor rgb="FFD6007E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rgb="FF1FDD80"/>
        <bgColor rgb="FF1FDD80"/>
      </patternFill>
    </fill>
    <fill>
      <patternFill patternType="solid">
        <fgColor rgb="FF1155CC"/>
        <bgColor rgb="FF1155CC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rgb="FFF3F3F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AD3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wrapText="1"/>
    </xf>
    <xf numFmtId="0" fontId="6" fillId="0" borderId="1" xfId="0" applyFont="1" applyBorder="1" applyAlignment="1">
      <alignment horizontal="right"/>
    </xf>
    <xf numFmtId="0" fontId="2" fillId="3" borderId="10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0" borderId="11" xfId="0" applyFont="1" applyBorder="1"/>
    <xf numFmtId="0" fontId="2" fillId="0" borderId="15" xfId="0" applyFont="1" applyBorder="1" applyAlignment="1">
      <alignment horizontal="center" wrapText="1"/>
    </xf>
    <xf numFmtId="0" fontId="3" fillId="4" borderId="17" xfId="0" applyFont="1" applyFill="1" applyBorder="1" applyAlignment="1">
      <alignment wrapText="1"/>
    </xf>
    <xf numFmtId="0" fontId="2" fillId="0" borderId="1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64" fontId="1" fillId="0" borderId="11" xfId="0" applyNumberFormat="1" applyFont="1" applyBorder="1"/>
    <xf numFmtId="0" fontId="2" fillId="0" borderId="24" xfId="0" applyFont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2" fillId="4" borderId="30" xfId="0" applyFont="1" applyFill="1" applyBorder="1" applyAlignment="1">
      <alignment horizontal="center" wrapText="1"/>
    </xf>
    <xf numFmtId="0" fontId="8" fillId="4" borderId="31" xfId="0" applyFont="1" applyFill="1" applyBorder="1" applyAlignment="1">
      <alignment wrapText="1"/>
    </xf>
    <xf numFmtId="0" fontId="1" fillId="0" borderId="2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3" fillId="0" borderId="34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0" fillId="3" borderId="19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12" borderId="28" xfId="0" applyFont="1" applyFill="1" applyBorder="1"/>
    <xf numFmtId="0" fontId="14" fillId="16" borderId="11" xfId="0" applyFont="1" applyFill="1" applyBorder="1" applyAlignment="1">
      <alignment horizontal="center" wrapText="1"/>
    </xf>
    <xf numFmtId="0" fontId="1" fillId="18" borderId="9" xfId="0" applyFont="1" applyFill="1" applyBorder="1"/>
    <xf numFmtId="0" fontId="24" fillId="3" borderId="19" xfId="0" applyFont="1" applyFill="1" applyBorder="1" applyAlignment="1">
      <alignment horizontal="center" wrapText="1"/>
    </xf>
    <xf numFmtId="0" fontId="24" fillId="4" borderId="6" xfId="0" applyFont="1" applyFill="1" applyBorder="1" applyAlignment="1">
      <alignment horizontal="center" wrapText="1"/>
    </xf>
    <xf numFmtId="0" fontId="24" fillId="20" borderId="16" xfId="0" applyFont="1" applyFill="1" applyBorder="1" applyAlignment="1">
      <alignment horizontal="center" wrapText="1"/>
    </xf>
    <xf numFmtId="0" fontId="26" fillId="4" borderId="44" xfId="0" applyFont="1" applyFill="1" applyBorder="1" applyAlignment="1">
      <alignment horizontal="center" wrapText="1"/>
    </xf>
    <xf numFmtId="0" fontId="23" fillId="17" borderId="45" xfId="0" applyFont="1" applyFill="1" applyBorder="1"/>
    <xf numFmtId="164" fontId="24" fillId="13" borderId="46" xfId="0" applyNumberFormat="1" applyFont="1" applyFill="1" applyBorder="1" applyAlignment="1">
      <alignment horizontal="center" wrapText="1"/>
    </xf>
    <xf numFmtId="164" fontId="24" fillId="13" borderId="30" xfId="0" applyNumberFormat="1" applyFont="1" applyFill="1" applyBorder="1" applyAlignment="1">
      <alignment horizontal="center" wrapText="1"/>
    </xf>
    <xf numFmtId="0" fontId="24" fillId="13" borderId="30" xfId="0" applyFont="1" applyFill="1" applyBorder="1" applyAlignment="1">
      <alignment horizontal="center" wrapText="1"/>
    </xf>
    <xf numFmtId="0" fontId="24" fillId="13" borderId="1" xfId="0" applyFont="1" applyFill="1" applyBorder="1" applyAlignment="1">
      <alignment horizontal="center" wrapText="1"/>
    </xf>
    <xf numFmtId="0" fontId="24" fillId="15" borderId="28" xfId="0" applyFont="1" applyFill="1" applyBorder="1" applyAlignment="1">
      <alignment horizontal="center" wrapText="1"/>
    </xf>
    <xf numFmtId="0" fontId="24" fillId="5" borderId="28" xfId="0" applyFont="1" applyFill="1" applyBorder="1" applyAlignment="1">
      <alignment horizontal="center" wrapText="1"/>
    </xf>
    <xf numFmtId="0" fontId="27" fillId="21" borderId="28" xfId="0" applyFont="1" applyFill="1" applyBorder="1" applyAlignment="1">
      <alignment horizontal="center" wrapText="1"/>
    </xf>
    <xf numFmtId="0" fontId="24" fillId="15" borderId="48" xfId="0" applyFont="1" applyFill="1" applyBorder="1" applyAlignment="1">
      <alignment horizontal="center" wrapText="1"/>
    </xf>
    <xf numFmtId="164" fontId="24" fillId="13" borderId="26" xfId="0" applyNumberFormat="1" applyFont="1" applyFill="1" applyBorder="1" applyAlignment="1">
      <alignment horizontal="center" wrapText="1"/>
    </xf>
    <xf numFmtId="164" fontId="24" fillId="13" borderId="45" xfId="0" applyNumberFormat="1" applyFont="1" applyFill="1" applyBorder="1" applyAlignment="1">
      <alignment horizontal="center" wrapText="1"/>
    </xf>
    <xf numFmtId="3" fontId="24" fillId="13" borderId="26" xfId="0" applyNumberFormat="1" applyFont="1" applyFill="1" applyBorder="1" applyAlignment="1">
      <alignment horizontal="center" wrapText="1"/>
    </xf>
    <xf numFmtId="0" fontId="24" fillId="13" borderId="26" xfId="0" applyFont="1" applyFill="1" applyBorder="1" applyAlignment="1">
      <alignment horizontal="center" wrapText="1"/>
    </xf>
    <xf numFmtId="0" fontId="24" fillId="13" borderId="49" xfId="0" applyFont="1" applyFill="1" applyBorder="1" applyAlignment="1">
      <alignment horizontal="center" wrapText="1"/>
    </xf>
    <xf numFmtId="0" fontId="24" fillId="17" borderId="48" xfId="0" applyFont="1" applyFill="1" applyBorder="1" applyAlignment="1">
      <alignment horizontal="center" wrapText="1"/>
    </xf>
    <xf numFmtId="0" fontId="24" fillId="22" borderId="48" xfId="0" applyFont="1" applyFill="1" applyBorder="1" applyAlignment="1">
      <alignment horizontal="center" wrapText="1"/>
    </xf>
    <xf numFmtId="0" fontId="27" fillId="18" borderId="49" xfId="0" applyFont="1" applyFill="1" applyBorder="1" applyAlignment="1">
      <alignment horizontal="center" wrapText="1"/>
    </xf>
    <xf numFmtId="0" fontId="23" fillId="23" borderId="50" xfId="0" applyFont="1" applyFill="1" applyBorder="1"/>
    <xf numFmtId="0" fontId="23" fillId="24" borderId="50" xfId="0" applyFont="1" applyFill="1" applyBorder="1"/>
    <xf numFmtId="0" fontId="27" fillId="24" borderId="50" xfId="0" applyFont="1" applyFill="1" applyBorder="1" applyAlignment="1">
      <alignment horizontal="center" wrapText="1"/>
    </xf>
    <xf numFmtId="0" fontId="30" fillId="25" borderId="1" xfId="0" applyFont="1" applyFill="1" applyBorder="1" applyAlignment="1">
      <alignment horizontal="center" vertical="center" wrapText="1"/>
    </xf>
    <xf numFmtId="49" fontId="30" fillId="25" borderId="1" xfId="0" applyNumberFormat="1" applyFont="1" applyFill="1" applyBorder="1" applyAlignment="1">
      <alignment horizontal="center" vertical="center" wrapText="1"/>
    </xf>
    <xf numFmtId="0" fontId="30" fillId="25" borderId="34" xfId="0" applyFont="1" applyFill="1" applyBorder="1" applyAlignment="1">
      <alignment horizontal="center" vertical="center" wrapText="1"/>
    </xf>
    <xf numFmtId="0" fontId="30" fillId="25" borderId="51" xfId="0" applyFont="1" applyFill="1" applyBorder="1" applyAlignment="1">
      <alignment horizontal="center" vertical="center" wrapText="1"/>
    </xf>
    <xf numFmtId="0" fontId="30" fillId="25" borderId="24" xfId="0" applyFont="1" applyFill="1" applyBorder="1" applyAlignment="1">
      <alignment horizontal="center" vertical="center" wrapText="1"/>
    </xf>
    <xf numFmtId="165" fontId="30" fillId="25" borderId="1" xfId="0" applyNumberFormat="1" applyFont="1" applyFill="1" applyBorder="1" applyAlignment="1">
      <alignment horizontal="center" vertical="center" wrapText="1"/>
    </xf>
    <xf numFmtId="0" fontId="30" fillId="25" borderId="52" xfId="0" applyFont="1" applyFill="1" applyBorder="1" applyAlignment="1">
      <alignment horizontal="center" vertical="center" wrapText="1"/>
    </xf>
    <xf numFmtId="0" fontId="30" fillId="25" borderId="15" xfId="0" applyFont="1" applyFill="1" applyBorder="1" applyAlignment="1">
      <alignment horizontal="center" vertical="center" wrapText="1"/>
    </xf>
    <xf numFmtId="0" fontId="30" fillId="25" borderId="20" xfId="0" applyFont="1" applyFill="1" applyBorder="1" applyAlignment="1">
      <alignment horizontal="center" vertical="center" wrapText="1"/>
    </xf>
    <xf numFmtId="0" fontId="30" fillId="25" borderId="10" xfId="0" applyFont="1" applyFill="1" applyBorder="1" applyAlignment="1">
      <alignment horizontal="center" vertical="center" wrapText="1"/>
    </xf>
    <xf numFmtId="0" fontId="30" fillId="25" borderId="4" xfId="0" applyFont="1" applyFill="1" applyBorder="1" applyAlignment="1">
      <alignment horizontal="center" vertical="center" wrapText="1"/>
    </xf>
    <xf numFmtId="0" fontId="31" fillId="25" borderId="8" xfId="0" applyFont="1" applyFill="1" applyBorder="1" applyAlignment="1">
      <alignment horizontal="center" vertical="center" wrapText="1"/>
    </xf>
    <xf numFmtId="0" fontId="30" fillId="25" borderId="3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49" fontId="32" fillId="21" borderId="17" xfId="0" applyNumberFormat="1" applyFont="1" applyFill="1" applyBorder="1" applyAlignment="1">
      <alignment horizontal="center" vertical="center" wrapText="1"/>
    </xf>
    <xf numFmtId="49" fontId="32" fillId="21" borderId="1" xfId="0" applyNumberFormat="1" applyFont="1" applyFill="1" applyBorder="1" applyAlignment="1">
      <alignment horizontal="center" vertical="center" wrapText="1"/>
    </xf>
    <xf numFmtId="49" fontId="32" fillId="21" borderId="49" xfId="0" applyNumberFormat="1" applyFont="1" applyFill="1" applyBorder="1" applyAlignment="1">
      <alignment horizontal="center" vertical="center" wrapText="1"/>
    </xf>
    <xf numFmtId="0" fontId="33" fillId="4" borderId="46" xfId="0" applyFont="1" applyFill="1" applyBorder="1" applyAlignment="1">
      <alignment horizontal="center" vertical="center" wrapText="1"/>
    </xf>
    <xf numFmtId="0" fontId="30" fillId="4" borderId="30" xfId="0" applyFont="1" applyFill="1" applyBorder="1" applyAlignment="1">
      <alignment horizontal="center" vertical="center" wrapText="1"/>
    </xf>
    <xf numFmtId="0" fontId="33" fillId="4" borderId="53" xfId="0" applyFont="1" applyFill="1" applyBorder="1" applyAlignment="1">
      <alignment horizontal="center" vertical="center" wrapText="1"/>
    </xf>
    <xf numFmtId="0" fontId="33" fillId="17" borderId="46" xfId="0" applyFont="1" applyFill="1" applyBorder="1" applyAlignment="1">
      <alignment horizontal="center" vertical="center" wrapText="1"/>
    </xf>
    <xf numFmtId="0" fontId="30" fillId="17" borderId="30" xfId="0" applyFont="1" applyFill="1" applyBorder="1" applyAlignment="1">
      <alignment horizontal="center" vertical="center" wrapText="1"/>
    </xf>
    <xf numFmtId="0" fontId="33" fillId="17" borderId="53" xfId="0" applyFont="1" applyFill="1" applyBorder="1" applyAlignment="1">
      <alignment horizontal="center" vertical="center" wrapText="1"/>
    </xf>
    <xf numFmtId="0" fontId="33" fillId="20" borderId="28" xfId="0" applyFont="1" applyFill="1" applyBorder="1" applyAlignment="1">
      <alignment horizontal="center" vertical="center" wrapText="1"/>
    </xf>
    <xf numFmtId="0" fontId="30" fillId="11" borderId="26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1" borderId="49" xfId="0" applyFont="1" applyFill="1" applyBorder="1" applyAlignment="1">
      <alignment horizontal="center" vertical="center" wrapText="1"/>
    </xf>
    <xf numFmtId="0" fontId="31" fillId="8" borderId="54" xfId="0" applyFont="1" applyFill="1" applyBorder="1" applyAlignment="1">
      <alignment horizontal="center" vertical="center" wrapText="1"/>
    </xf>
    <xf numFmtId="0" fontId="31" fillId="26" borderId="55" xfId="0" applyFont="1" applyFill="1" applyBorder="1" applyAlignment="1">
      <alignment horizontal="center" vertical="center" wrapText="1"/>
    </xf>
    <xf numFmtId="0" fontId="31" fillId="26" borderId="37" xfId="0" applyFont="1" applyFill="1" applyBorder="1" applyAlignment="1">
      <alignment horizontal="center" vertical="center" wrapText="1"/>
    </xf>
    <xf numFmtId="0" fontId="31" fillId="12" borderId="54" xfId="0" applyFont="1" applyFill="1" applyBorder="1" applyAlignment="1">
      <alignment horizontal="center" vertical="center" wrapText="1"/>
    </xf>
    <xf numFmtId="0" fontId="31" fillId="12" borderId="37" xfId="0" applyFont="1" applyFill="1" applyBorder="1" applyAlignment="1">
      <alignment horizontal="center" vertical="center" wrapText="1"/>
    </xf>
    <xf numFmtId="0" fontId="31" fillId="26" borderId="43" xfId="0" applyFont="1" applyFill="1" applyBorder="1" applyAlignment="1">
      <alignment horizontal="center" vertical="center" wrapText="1"/>
    </xf>
    <xf numFmtId="0" fontId="29" fillId="27" borderId="56" xfId="0" applyFont="1" applyFill="1" applyBorder="1" applyAlignment="1">
      <alignment horizontal="center" vertical="center"/>
    </xf>
    <xf numFmtId="3" fontId="31" fillId="4" borderId="56" xfId="0" applyNumberFormat="1" applyFont="1" applyFill="1" applyBorder="1" applyAlignment="1">
      <alignment horizontal="center" vertical="center" wrapText="1"/>
    </xf>
    <xf numFmtId="0" fontId="30" fillId="13" borderId="56" xfId="0" applyFont="1" applyFill="1" applyBorder="1" applyAlignment="1">
      <alignment horizontal="center" vertical="center" wrapText="1"/>
    </xf>
    <xf numFmtId="164" fontId="30" fillId="0" borderId="26" xfId="0" applyNumberFormat="1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13" borderId="29" xfId="0" applyFont="1" applyFill="1" applyBorder="1" applyAlignment="1">
      <alignment horizontal="center" vertical="center" wrapText="1"/>
    </xf>
    <xf numFmtId="0" fontId="30" fillId="28" borderId="46" xfId="0" applyFont="1" applyFill="1" applyBorder="1" applyAlignment="1">
      <alignment horizontal="center" vertical="center" wrapText="1"/>
    </xf>
    <xf numFmtId="0" fontId="30" fillId="28" borderId="29" xfId="0" applyFont="1" applyFill="1" applyBorder="1" applyAlignment="1">
      <alignment horizontal="center" vertical="center" wrapText="1"/>
    </xf>
    <xf numFmtId="0" fontId="30" fillId="13" borderId="46" xfId="0" applyFont="1" applyFill="1" applyBorder="1" applyAlignment="1">
      <alignment horizontal="center" vertical="center" wrapText="1"/>
    </xf>
    <xf numFmtId="0" fontId="30" fillId="29" borderId="28" xfId="0" applyFont="1" applyFill="1" applyBorder="1" applyAlignment="1">
      <alignment horizontal="center" vertical="center" wrapText="1"/>
    </xf>
    <xf numFmtId="0" fontId="30" fillId="6" borderId="56" xfId="0" applyFont="1" applyFill="1" applyBorder="1" applyAlignment="1">
      <alignment horizontal="center" vertical="center" wrapText="1"/>
    </xf>
    <xf numFmtId="3" fontId="30" fillId="6" borderId="56" xfId="0" applyNumberFormat="1" applyFont="1" applyFill="1" applyBorder="1" applyAlignment="1">
      <alignment horizontal="center" vertical="center" wrapText="1"/>
    </xf>
    <xf numFmtId="0" fontId="30" fillId="5" borderId="26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30" fillId="19" borderId="1" xfId="0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30" fillId="3" borderId="56" xfId="0" applyFont="1" applyFill="1" applyBorder="1" applyAlignment="1">
      <alignment horizontal="center" vertical="center" wrapText="1"/>
    </xf>
    <xf numFmtId="0" fontId="30" fillId="31" borderId="56" xfId="0" applyFont="1" applyFill="1" applyBorder="1" applyAlignment="1">
      <alignment horizontal="center" vertical="center" wrapText="1"/>
    </xf>
    <xf numFmtId="0" fontId="30" fillId="15" borderId="56" xfId="0" applyFont="1" applyFill="1" applyBorder="1" applyAlignment="1">
      <alignment horizontal="center" vertical="center" wrapText="1"/>
    </xf>
    <xf numFmtId="164" fontId="30" fillId="0" borderId="56" xfId="0" applyNumberFormat="1" applyFont="1" applyBorder="1" applyAlignment="1">
      <alignment horizontal="center" vertical="center" wrapText="1"/>
    </xf>
    <xf numFmtId="0" fontId="30" fillId="17" borderId="26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1" fillId="13" borderId="26" xfId="0" applyNumberFormat="1" applyFont="1" applyFill="1" applyBorder="1" applyAlignment="1">
      <alignment horizontal="center" vertical="center" wrapText="1"/>
    </xf>
    <xf numFmtId="164" fontId="30" fillId="13" borderId="14" xfId="0" applyNumberFormat="1" applyFont="1" applyFill="1" applyBorder="1" applyAlignment="1">
      <alignment horizontal="center" vertical="center" wrapText="1"/>
    </xf>
    <xf numFmtId="0" fontId="30" fillId="13" borderId="14" xfId="0" applyFont="1" applyFill="1" applyBorder="1" applyAlignment="1">
      <alignment horizontal="center" vertical="center" wrapText="1"/>
    </xf>
    <xf numFmtId="0" fontId="30" fillId="32" borderId="1" xfId="0" applyFont="1" applyFill="1" applyBorder="1" applyAlignment="1">
      <alignment horizontal="center" vertical="center" wrapText="1"/>
    </xf>
    <xf numFmtId="3" fontId="29" fillId="27" borderId="56" xfId="0" applyNumberFormat="1" applyFont="1" applyFill="1" applyBorder="1" applyAlignment="1">
      <alignment horizontal="center" vertical="center"/>
    </xf>
    <xf numFmtId="0" fontId="30" fillId="17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2" fillId="18" borderId="26" xfId="0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 wrapText="1"/>
    </xf>
    <xf numFmtId="0" fontId="32" fillId="18" borderId="51" xfId="0" applyFont="1" applyFill="1" applyBorder="1" applyAlignment="1">
      <alignment horizontal="center" vertical="center" wrapText="1"/>
    </xf>
    <xf numFmtId="0" fontId="32" fillId="18" borderId="49" xfId="0" applyFont="1" applyFill="1" applyBorder="1" applyAlignment="1">
      <alignment horizontal="center" vertical="center" wrapText="1"/>
    </xf>
    <xf numFmtId="0" fontId="32" fillId="23" borderId="44" xfId="0" applyFont="1" applyFill="1" applyBorder="1" applyAlignment="1">
      <alignment horizontal="center" vertical="center" wrapText="1"/>
    </xf>
    <xf numFmtId="0" fontId="30" fillId="24" borderId="44" xfId="0" applyFont="1" applyFill="1" applyBorder="1" applyAlignment="1">
      <alignment horizontal="center" vertical="center" wrapText="1"/>
    </xf>
    <xf numFmtId="0" fontId="30" fillId="6" borderId="44" xfId="0" applyFont="1" applyFill="1" applyBorder="1" applyAlignment="1">
      <alignment horizontal="center" vertical="center" wrapText="1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30" fillId="35" borderId="1" xfId="0" applyFont="1" applyFill="1" applyBorder="1" applyAlignment="1">
      <alignment horizontal="center" vertical="center" wrapText="1"/>
    </xf>
    <xf numFmtId="0" fontId="30" fillId="35" borderId="49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wrapText="1"/>
    </xf>
    <xf numFmtId="0" fontId="38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6" fillId="0" borderId="0" xfId="0" applyFont="1" applyAlignment="1">
      <alignment horizontal="center" vertical="center" wrapText="1"/>
    </xf>
    <xf numFmtId="0" fontId="36" fillId="36" borderId="0" xfId="0" applyFont="1" applyFill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164" fontId="1" fillId="0" borderId="0" xfId="0" applyNumberFormat="1" applyFont="1"/>
    <xf numFmtId="3" fontId="1" fillId="0" borderId="0" xfId="0" applyNumberFormat="1" applyFont="1"/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" fillId="10" borderId="0" xfId="0" applyFont="1" applyFill="1"/>
    <xf numFmtId="0" fontId="23" fillId="3" borderId="0" xfId="0" applyFont="1" applyFill="1"/>
    <xf numFmtId="3" fontId="23" fillId="4" borderId="0" xfId="0" applyNumberFormat="1" applyFont="1" applyFill="1"/>
    <xf numFmtId="164" fontId="23" fillId="0" borderId="0" xfId="0" applyNumberFormat="1" applyFont="1"/>
    <xf numFmtId="0" fontId="28" fillId="0" borderId="0" xfId="0" applyFont="1"/>
    <xf numFmtId="0" fontId="40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2" fillId="3" borderId="58" xfId="0" applyFont="1" applyFill="1" applyBorder="1" applyAlignment="1">
      <alignment horizontal="center" vertical="center" wrapText="1"/>
    </xf>
    <xf numFmtId="49" fontId="43" fillId="3" borderId="15" xfId="0" applyNumberFormat="1" applyFont="1" applyFill="1" applyBorder="1" applyAlignment="1">
      <alignment horizontal="center" vertical="center" wrapText="1"/>
    </xf>
    <xf numFmtId="0" fontId="42" fillId="3" borderId="26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2" fillId="3" borderId="49" xfId="0" applyFont="1" applyFill="1" applyBorder="1" applyAlignment="1">
      <alignment horizontal="center" vertical="center" wrapText="1"/>
    </xf>
    <xf numFmtId="0" fontId="43" fillId="3" borderId="26" xfId="0" applyFont="1" applyFill="1" applyBorder="1" applyAlignment="1">
      <alignment horizontal="center" vertical="center" wrapText="1"/>
    </xf>
    <xf numFmtId="165" fontId="42" fillId="3" borderId="1" xfId="0" applyNumberFormat="1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3" fillId="3" borderId="49" xfId="0" applyFont="1" applyFill="1" applyBorder="1" applyAlignment="1">
      <alignment horizontal="center" vertical="center" wrapText="1"/>
    </xf>
    <xf numFmtId="0" fontId="42" fillId="3" borderId="46" xfId="0" applyFont="1" applyFill="1" applyBorder="1" applyAlignment="1">
      <alignment horizontal="center" vertical="center" wrapText="1"/>
    </xf>
    <xf numFmtId="0" fontId="42" fillId="3" borderId="53" xfId="0" applyFont="1" applyFill="1" applyBorder="1" applyAlignment="1">
      <alignment horizontal="center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28" xfId="0" applyFont="1" applyFill="1" applyBorder="1" applyAlignment="1">
      <alignment horizontal="center" vertical="center" wrapText="1"/>
    </xf>
    <xf numFmtId="0" fontId="41" fillId="3" borderId="28" xfId="0" applyFont="1" applyFill="1" applyBorder="1" applyAlignment="1">
      <alignment horizontal="center" vertical="center"/>
    </xf>
    <xf numFmtId="0" fontId="41" fillId="3" borderId="47" xfId="0" applyFont="1" applyFill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0" fontId="42" fillId="11" borderId="4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42" fillId="0" borderId="47" xfId="0" applyFont="1" applyBorder="1" applyAlignment="1">
      <alignment horizontal="center" vertical="center" wrapText="1"/>
    </xf>
    <xf numFmtId="0" fontId="41" fillId="0" borderId="45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1" fillId="27" borderId="1" xfId="0" applyFont="1" applyFill="1" applyBorder="1" applyAlignment="1">
      <alignment horizontal="center" vertical="center"/>
    </xf>
    <xf numFmtId="0" fontId="42" fillId="33" borderId="1" xfId="0" applyFont="1" applyFill="1" applyBorder="1" applyAlignment="1">
      <alignment horizontal="center" vertical="center" wrapText="1"/>
    </xf>
    <xf numFmtId="166" fontId="41" fillId="0" borderId="46" xfId="0" applyNumberFormat="1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/>
    </xf>
    <xf numFmtId="0" fontId="41" fillId="0" borderId="43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41" fillId="0" borderId="49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/>
    </xf>
    <xf numFmtId="0" fontId="42" fillId="5" borderId="49" xfId="0" applyFont="1" applyFill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46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 wrapText="1"/>
    </xf>
    <xf numFmtId="0" fontId="41" fillId="0" borderId="56" xfId="0" applyFont="1" applyBorder="1" applyAlignment="1">
      <alignment horizontal="center" vertical="center"/>
    </xf>
    <xf numFmtId="165" fontId="42" fillId="0" borderId="56" xfId="0" applyNumberFormat="1" applyFont="1" applyBorder="1" applyAlignment="1">
      <alignment horizontal="center" vertical="center" wrapText="1"/>
    </xf>
    <xf numFmtId="164" fontId="41" fillId="0" borderId="1" xfId="0" applyNumberFormat="1" applyFont="1" applyBorder="1" applyAlignment="1">
      <alignment horizontal="center" vertical="center"/>
    </xf>
    <xf numFmtId="164" fontId="41" fillId="0" borderId="49" xfId="0" applyNumberFormat="1" applyFont="1" applyBorder="1" applyAlignment="1">
      <alignment horizontal="center" vertical="center"/>
    </xf>
    <xf numFmtId="166" fontId="41" fillId="0" borderId="26" xfId="0" applyNumberFormat="1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46" fontId="41" fillId="0" borderId="1" xfId="0" applyNumberFormat="1" applyFont="1" applyBorder="1" applyAlignment="1">
      <alignment horizontal="center" vertical="center"/>
    </xf>
    <xf numFmtId="3" fontId="41" fillId="0" borderId="1" xfId="0" applyNumberFormat="1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 wrapText="1"/>
    </xf>
    <xf numFmtId="49" fontId="41" fillId="0" borderId="1" xfId="0" applyNumberFormat="1" applyFont="1" applyBorder="1" applyAlignment="1">
      <alignment horizontal="center" vertical="center"/>
    </xf>
    <xf numFmtId="4" fontId="41" fillId="0" borderId="1" xfId="0" applyNumberFormat="1" applyFont="1" applyBorder="1" applyAlignment="1">
      <alignment horizontal="center" vertical="center"/>
    </xf>
    <xf numFmtId="164" fontId="41" fillId="0" borderId="56" xfId="0" applyNumberFormat="1" applyFont="1" applyBorder="1" applyAlignment="1">
      <alignment horizontal="center" vertical="center"/>
    </xf>
    <xf numFmtId="0" fontId="42" fillId="3" borderId="59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164" fontId="42" fillId="3" borderId="1" xfId="0" applyNumberFormat="1" applyFont="1" applyFill="1" applyBorder="1" applyAlignment="1">
      <alignment horizontal="center" vertical="center" wrapText="1"/>
    </xf>
    <xf numFmtId="3" fontId="41" fillId="0" borderId="26" xfId="0" applyNumberFormat="1" applyFont="1" applyBorder="1" applyAlignment="1">
      <alignment horizontal="center" vertical="center"/>
    </xf>
    <xf numFmtId="164" fontId="45" fillId="0" borderId="14" xfId="0" applyNumberFormat="1" applyFont="1" applyBorder="1" applyAlignment="1">
      <alignment horizontal="center" vertical="center" wrapText="1"/>
    </xf>
    <xf numFmtId="3" fontId="42" fillId="0" borderId="26" xfId="0" applyNumberFormat="1" applyFont="1" applyBorder="1" applyAlignment="1">
      <alignment horizontal="center" vertical="center" wrapText="1"/>
    </xf>
    <xf numFmtId="165" fontId="42" fillId="0" borderId="1" xfId="0" applyNumberFormat="1" applyFont="1" applyBorder="1" applyAlignment="1">
      <alignment horizontal="center" vertical="center" wrapText="1"/>
    </xf>
    <xf numFmtId="166" fontId="42" fillId="0" borderId="49" xfId="0" applyNumberFormat="1" applyFont="1" applyBorder="1" applyAlignment="1">
      <alignment horizontal="center" vertical="center" wrapText="1"/>
    </xf>
    <xf numFmtId="0" fontId="40" fillId="25" borderId="1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center" vertical="center"/>
    </xf>
    <xf numFmtId="0" fontId="42" fillId="25" borderId="1" xfId="0" applyFont="1" applyFill="1" applyBorder="1" applyAlignment="1">
      <alignment horizontal="center" vertical="center" wrapText="1"/>
    </xf>
    <xf numFmtId="0" fontId="43" fillId="25" borderId="1" xfId="0" applyFont="1" applyFill="1" applyBorder="1" applyAlignment="1">
      <alignment horizontal="center" vertical="center" wrapText="1"/>
    </xf>
    <xf numFmtId="49" fontId="43" fillId="25" borderId="15" xfId="0" applyNumberFormat="1" applyFont="1" applyFill="1" applyBorder="1" applyAlignment="1">
      <alignment horizontal="center" vertical="center" wrapText="1"/>
    </xf>
    <xf numFmtId="0" fontId="42" fillId="25" borderId="49" xfId="0" applyFont="1" applyFill="1" applyBorder="1" applyAlignment="1">
      <alignment horizontal="center" vertical="center" wrapText="1"/>
    </xf>
    <xf numFmtId="165" fontId="42" fillId="25" borderId="1" xfId="0" applyNumberFormat="1" applyFont="1" applyFill="1" applyBorder="1" applyAlignment="1">
      <alignment horizontal="center" vertical="center" wrapText="1"/>
    </xf>
    <xf numFmtId="0" fontId="42" fillId="25" borderId="26" xfId="0" applyFont="1" applyFill="1" applyBorder="1" applyAlignment="1">
      <alignment horizontal="center" vertical="center" wrapText="1"/>
    </xf>
    <xf numFmtId="0" fontId="42" fillId="25" borderId="15" xfId="0" applyFont="1" applyFill="1" applyBorder="1" applyAlignment="1">
      <alignment horizontal="center" vertical="center" wrapText="1"/>
    </xf>
    <xf numFmtId="0" fontId="43" fillId="25" borderId="49" xfId="0" applyFont="1" applyFill="1" applyBorder="1" applyAlignment="1">
      <alignment horizontal="center" vertical="center" wrapText="1"/>
    </xf>
    <xf numFmtId="0" fontId="42" fillId="25" borderId="13" xfId="0" applyFont="1" applyFill="1" applyBorder="1" applyAlignment="1">
      <alignment horizontal="center" vertical="center" wrapText="1"/>
    </xf>
    <xf numFmtId="0" fontId="42" fillId="25" borderId="28" xfId="0" applyFont="1" applyFill="1" applyBorder="1" applyAlignment="1">
      <alignment horizontal="center" vertical="center" wrapText="1"/>
    </xf>
    <xf numFmtId="0" fontId="41" fillId="25" borderId="28" xfId="0" applyFont="1" applyFill="1" applyBorder="1" applyAlignment="1">
      <alignment horizontal="center" vertical="center"/>
    </xf>
    <xf numFmtId="0" fontId="41" fillId="25" borderId="47" xfId="0" applyFont="1" applyFill="1" applyBorder="1" applyAlignment="1">
      <alignment horizontal="center" vertical="center"/>
    </xf>
    <xf numFmtId="0" fontId="42" fillId="0" borderId="26" xfId="0" applyFont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center" vertical="center"/>
    </xf>
    <xf numFmtId="164" fontId="43" fillId="0" borderId="26" xfId="0" applyNumberFormat="1" applyFont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center" vertical="center"/>
    </xf>
    <xf numFmtId="164" fontId="41" fillId="0" borderId="26" xfId="0" applyNumberFormat="1" applyFont="1" applyBorder="1" applyAlignment="1">
      <alignment horizontal="center" vertical="center"/>
    </xf>
    <xf numFmtId="164" fontId="41" fillId="0" borderId="14" xfId="0" applyNumberFormat="1" applyFont="1" applyBorder="1" applyAlignment="1">
      <alignment horizontal="center" vertical="center"/>
    </xf>
    <xf numFmtId="164" fontId="43" fillId="0" borderId="56" xfId="0" applyNumberFormat="1" applyFont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center" vertical="center" wrapText="1"/>
    </xf>
    <xf numFmtId="164" fontId="46" fillId="0" borderId="14" xfId="0" applyNumberFormat="1" applyFont="1" applyBorder="1" applyAlignment="1">
      <alignment horizontal="center" vertical="center"/>
    </xf>
    <xf numFmtId="3" fontId="41" fillId="0" borderId="14" xfId="0" applyNumberFormat="1" applyFont="1" applyBorder="1" applyAlignment="1">
      <alignment horizontal="center" vertical="center"/>
    </xf>
    <xf numFmtId="0" fontId="42" fillId="15" borderId="1" xfId="0" applyFont="1" applyFill="1" applyBorder="1" applyAlignment="1">
      <alignment horizontal="center" vertical="center" wrapText="1"/>
    </xf>
    <xf numFmtId="166" fontId="42" fillId="15" borderId="1" xfId="0" applyNumberFormat="1" applyFont="1" applyFill="1" applyBorder="1" applyAlignment="1">
      <alignment horizontal="center" vertical="center" wrapText="1"/>
    </xf>
    <xf numFmtId="166" fontId="42" fillId="15" borderId="49" xfId="0" applyNumberFormat="1" applyFont="1" applyFill="1" applyBorder="1" applyAlignment="1">
      <alignment horizontal="center" vertical="center" wrapText="1"/>
    </xf>
    <xf numFmtId="3" fontId="41" fillId="0" borderId="56" xfId="0" applyNumberFormat="1" applyFont="1" applyBorder="1" applyAlignment="1">
      <alignment horizontal="center" vertical="center"/>
    </xf>
    <xf numFmtId="164" fontId="42" fillId="0" borderId="26" xfId="0" applyNumberFormat="1" applyFont="1" applyBorder="1" applyAlignment="1">
      <alignment horizontal="center" vertical="center"/>
    </xf>
    <xf numFmtId="0" fontId="42" fillId="3" borderId="56" xfId="0" applyFont="1" applyFill="1" applyBorder="1" applyAlignment="1">
      <alignment horizontal="center" vertical="center" wrapText="1"/>
    </xf>
    <xf numFmtId="164" fontId="42" fillId="5" borderId="1" xfId="0" applyNumberFormat="1" applyFont="1" applyFill="1" applyBorder="1" applyAlignment="1">
      <alignment horizontal="center" vertical="center" wrapText="1"/>
    </xf>
    <xf numFmtId="164" fontId="42" fillId="0" borderId="56" xfId="0" applyNumberFormat="1" applyFont="1" applyBorder="1" applyAlignment="1">
      <alignment horizontal="center" vertical="center" wrapText="1"/>
    </xf>
    <xf numFmtId="167" fontId="42" fillId="0" borderId="56" xfId="0" applyNumberFormat="1" applyFont="1" applyBorder="1" applyAlignment="1">
      <alignment horizontal="center" vertical="center" wrapText="1"/>
    </xf>
    <xf numFmtId="165" fontId="41" fillId="27" borderId="1" xfId="0" applyNumberFormat="1" applyFont="1" applyFill="1" applyBorder="1" applyAlignment="1">
      <alignment horizontal="center" vertical="center"/>
    </xf>
    <xf numFmtId="0" fontId="41" fillId="15" borderId="1" xfId="0" applyFont="1" applyFill="1" applyBorder="1" applyAlignment="1">
      <alignment horizontal="center" vertical="center"/>
    </xf>
    <xf numFmtId="0" fontId="43" fillId="15" borderId="49" xfId="0" applyFont="1" applyFill="1" applyBorder="1" applyAlignment="1">
      <alignment horizontal="center" vertical="center" wrapText="1"/>
    </xf>
    <xf numFmtId="0" fontId="47" fillId="3" borderId="46" xfId="0" applyFont="1" applyFill="1" applyBorder="1" applyAlignment="1">
      <alignment horizontal="center" vertical="center" wrapText="1"/>
    </xf>
    <xf numFmtId="0" fontId="47" fillId="3" borderId="53" xfId="0" applyFont="1" applyFill="1" applyBorder="1" applyAlignment="1">
      <alignment horizontal="center" vertical="center" wrapText="1"/>
    </xf>
    <xf numFmtId="0" fontId="48" fillId="37" borderId="60" xfId="0" applyFont="1" applyFill="1" applyBorder="1" applyAlignment="1">
      <alignment horizontal="center" vertical="center" wrapText="1"/>
    </xf>
    <xf numFmtId="0" fontId="48" fillId="37" borderId="61" xfId="0" applyFont="1" applyFill="1" applyBorder="1" applyAlignment="1">
      <alignment horizontal="center" vertical="center" wrapText="1"/>
    </xf>
    <xf numFmtId="0" fontId="47" fillId="3" borderId="47" xfId="0" applyFont="1" applyFill="1" applyBorder="1" applyAlignment="1">
      <alignment horizontal="center" vertical="center" wrapText="1"/>
    </xf>
    <xf numFmtId="0" fontId="47" fillId="3" borderId="27" xfId="0" applyFont="1" applyFill="1" applyBorder="1" applyAlignment="1">
      <alignment horizontal="center" vertical="center" wrapText="1"/>
    </xf>
    <xf numFmtId="0" fontId="49" fillId="3" borderId="53" xfId="0" applyFont="1" applyFill="1" applyBorder="1" applyAlignment="1">
      <alignment horizontal="center" vertical="center" wrapText="1"/>
    </xf>
    <xf numFmtId="0" fontId="47" fillId="25" borderId="46" xfId="0" applyFont="1" applyFill="1" applyBorder="1" applyAlignment="1">
      <alignment horizontal="center" vertical="center" wrapText="1"/>
    </xf>
    <xf numFmtId="0" fontId="47" fillId="25" borderId="53" xfId="0" applyFont="1" applyFill="1" applyBorder="1" applyAlignment="1">
      <alignment horizontal="center" vertical="center" wrapText="1"/>
    </xf>
    <xf numFmtId="0" fontId="47" fillId="25" borderId="47" xfId="0" applyFont="1" applyFill="1" applyBorder="1" applyAlignment="1">
      <alignment horizontal="center" vertical="center" wrapText="1"/>
    </xf>
    <xf numFmtId="0" fontId="48" fillId="37" borderId="42" xfId="0" applyFont="1" applyFill="1" applyBorder="1" applyAlignment="1">
      <alignment horizontal="center" vertical="center" wrapText="1"/>
    </xf>
    <xf numFmtId="6" fontId="48" fillId="37" borderId="61" xfId="0" applyNumberFormat="1" applyFont="1" applyFill="1" applyBorder="1" applyAlignment="1">
      <alignment horizontal="center" vertical="center" wrapText="1"/>
    </xf>
    <xf numFmtId="0" fontId="50" fillId="3" borderId="53" xfId="0" applyFont="1" applyFill="1" applyBorder="1" applyAlignment="1">
      <alignment horizontal="center" vertical="center" wrapText="1"/>
    </xf>
    <xf numFmtId="0" fontId="39" fillId="0" borderId="0" xfId="0" applyFont="1"/>
    <xf numFmtId="0" fontId="24" fillId="3" borderId="7" xfId="0" applyFont="1" applyFill="1" applyBorder="1" applyAlignment="1">
      <alignment horizontal="center" wrapText="1"/>
    </xf>
    <xf numFmtId="0" fontId="4" fillId="3" borderId="9" xfId="0" applyFont="1" applyFill="1" applyBorder="1"/>
    <xf numFmtId="164" fontId="12" fillId="13" borderId="2" xfId="0" applyNumberFormat="1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12" fillId="13" borderId="5" xfId="0" applyFont="1" applyFill="1" applyBorder="1" applyAlignment="1">
      <alignment horizontal="center" wrapText="1"/>
    </xf>
    <xf numFmtId="0" fontId="4" fillId="0" borderId="38" xfId="0" applyFont="1" applyBorder="1"/>
    <xf numFmtId="164" fontId="18" fillId="14" borderId="2" xfId="0" applyNumberFormat="1" applyFont="1" applyFill="1" applyBorder="1" applyAlignment="1">
      <alignment horizontal="center" wrapText="1"/>
    </xf>
    <xf numFmtId="0" fontId="24" fillId="19" borderId="2" xfId="0" applyFont="1" applyFill="1" applyBorder="1" applyAlignment="1">
      <alignment horizontal="center" wrapText="1"/>
    </xf>
    <xf numFmtId="0" fontId="24" fillId="4" borderId="35" xfId="0" applyFont="1" applyFill="1" applyBorder="1" applyAlignment="1">
      <alignment horizontal="center" wrapText="1"/>
    </xf>
    <xf numFmtId="0" fontId="4" fillId="0" borderId="36" xfId="0" applyFont="1" applyBorder="1"/>
    <xf numFmtId="0" fontId="4" fillId="0" borderId="37" xfId="0" applyFont="1" applyBorder="1"/>
    <xf numFmtId="0" fontId="24" fillId="3" borderId="2" xfId="0" applyFont="1" applyFill="1" applyBorder="1" applyAlignment="1">
      <alignment horizontal="center" wrapText="1"/>
    </xf>
    <xf numFmtId="0" fontId="4" fillId="3" borderId="38" xfId="0" applyFont="1" applyFill="1" applyBorder="1"/>
    <xf numFmtId="0" fontId="24" fillId="3" borderId="35" xfId="0" applyFont="1" applyFill="1" applyBorder="1" applyAlignment="1">
      <alignment horizontal="center" wrapText="1"/>
    </xf>
    <xf numFmtId="0" fontId="4" fillId="3" borderId="36" xfId="0" applyFont="1" applyFill="1" applyBorder="1"/>
    <xf numFmtId="0" fontId="4" fillId="3" borderId="37" xfId="0" applyFont="1" applyFill="1" applyBorder="1"/>
    <xf numFmtId="0" fontId="23" fillId="3" borderId="35" xfId="0" applyFont="1" applyFill="1" applyBorder="1"/>
    <xf numFmtId="0" fontId="4" fillId="3" borderId="8" xfId="0" applyFont="1" applyFill="1" applyBorder="1"/>
    <xf numFmtId="0" fontId="4" fillId="0" borderId="9" xfId="0" applyFont="1" applyBorder="1"/>
    <xf numFmtId="0" fontId="24" fillId="4" borderId="7" xfId="0" applyFont="1" applyFill="1" applyBorder="1" applyAlignment="1">
      <alignment horizontal="center" wrapText="1"/>
    </xf>
    <xf numFmtId="0" fontId="24" fillId="12" borderId="7" xfId="0" applyFont="1" applyFill="1" applyBorder="1" applyAlignment="1">
      <alignment horizontal="center" wrapText="1"/>
    </xf>
    <xf numFmtId="0" fontId="4" fillId="0" borderId="8" xfId="0" applyFont="1" applyBorder="1"/>
    <xf numFmtId="0" fontId="23" fillId="3" borderId="0" xfId="0" applyFont="1" applyFill="1" applyAlignment="1">
      <alignment horizontal="center" wrapText="1"/>
    </xf>
    <xf numFmtId="0" fontId="0" fillId="0" borderId="0" xfId="0"/>
    <xf numFmtId="0" fontId="8" fillId="3" borderId="2" xfId="0" applyFont="1" applyFill="1" applyBorder="1" applyAlignment="1">
      <alignment horizontal="center" wrapText="1"/>
    </xf>
    <xf numFmtId="0" fontId="4" fillId="3" borderId="3" xfId="0" applyFont="1" applyFill="1" applyBorder="1"/>
    <xf numFmtId="0" fontId="25" fillId="34" borderId="2" xfId="0" applyFont="1" applyFill="1" applyBorder="1" applyAlignment="1">
      <alignment horizontal="center" wrapText="1"/>
    </xf>
    <xf numFmtId="0" fontId="4" fillId="34" borderId="3" xfId="0" applyFont="1" applyFill="1" applyBorder="1"/>
    <xf numFmtId="0" fontId="4" fillId="34" borderId="38" xfId="0" applyFont="1" applyFill="1" applyBorder="1"/>
    <xf numFmtId="0" fontId="1" fillId="9" borderId="8" xfId="0" applyFont="1" applyFill="1" applyBorder="1"/>
    <xf numFmtId="0" fontId="12" fillId="10" borderId="35" xfId="0" applyFont="1" applyFill="1" applyBorder="1" applyAlignment="1">
      <alignment horizontal="center" wrapText="1"/>
    </xf>
    <xf numFmtId="0" fontId="4" fillId="10" borderId="36" xfId="0" applyFont="1" applyFill="1" applyBorder="1"/>
    <xf numFmtId="0" fontId="4" fillId="10" borderId="37" xfId="0" applyFont="1" applyFill="1" applyBorder="1"/>
    <xf numFmtId="0" fontId="13" fillId="10" borderId="35" xfId="0" applyFont="1" applyFill="1" applyBorder="1" applyAlignment="1">
      <alignment horizontal="center" wrapText="1"/>
    </xf>
    <xf numFmtId="0" fontId="1" fillId="0" borderId="0" xfId="0" applyFont="1"/>
    <xf numFmtId="0" fontId="14" fillId="11" borderId="2" xfId="0" applyFont="1" applyFill="1" applyBorder="1" applyAlignment="1">
      <alignment horizontal="center" wrapText="1"/>
    </xf>
    <xf numFmtId="0" fontId="15" fillId="8" borderId="35" xfId="0" applyFont="1" applyFill="1" applyBorder="1" applyAlignment="1">
      <alignment horizontal="center" wrapText="1"/>
    </xf>
    <xf numFmtId="0" fontId="4" fillId="0" borderId="39" xfId="0" applyFont="1" applyBorder="1"/>
    <xf numFmtId="0" fontId="16" fillId="12" borderId="28" xfId="0" applyFont="1" applyFill="1" applyBorder="1" applyAlignment="1">
      <alignment horizontal="center" wrapText="1"/>
    </xf>
    <xf numFmtId="0" fontId="4" fillId="0" borderId="28" xfId="0" applyFont="1" applyBorder="1"/>
    <xf numFmtId="0" fontId="17" fillId="12" borderId="15" xfId="0" applyFont="1" applyFill="1" applyBorder="1" applyAlignment="1">
      <alignment horizontal="center" wrapText="1"/>
    </xf>
    <xf numFmtId="0" fontId="4" fillId="0" borderId="14" xfId="0" applyFont="1" applyBorder="1"/>
    <xf numFmtId="3" fontId="20" fillId="6" borderId="0" xfId="0" applyNumberFormat="1" applyFont="1" applyFill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0" fontId="22" fillId="9" borderId="0" xfId="0" applyFont="1" applyFill="1" applyAlignment="1">
      <alignment horizontal="center"/>
    </xf>
    <xf numFmtId="164" fontId="18" fillId="15" borderId="2" xfId="0" applyNumberFormat="1" applyFont="1" applyFill="1" applyBorder="1" applyAlignment="1">
      <alignment horizontal="center" wrapText="1"/>
    </xf>
    <xf numFmtId="164" fontId="19" fillId="13" borderId="2" xfId="0" applyNumberFormat="1" applyFont="1" applyFill="1" applyBorder="1" applyAlignment="1">
      <alignment horizontal="center" wrapText="1"/>
    </xf>
    <xf numFmtId="0" fontId="12" fillId="17" borderId="40" xfId="0" applyFont="1" applyFill="1" applyBorder="1" applyAlignment="1">
      <alignment horizontal="center" wrapText="1"/>
    </xf>
    <xf numFmtId="0" fontId="4" fillId="0" borderId="41" xfId="0" applyFont="1" applyBorder="1"/>
    <xf numFmtId="0" fontId="4" fillId="0" borderId="42" xfId="0" applyFont="1" applyBorder="1"/>
    <xf numFmtId="3" fontId="12" fillId="13" borderId="8" xfId="0" applyNumberFormat="1" applyFont="1" applyFill="1" applyBorder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3" fontId="11" fillId="8" borderId="31" xfId="0" applyNumberFormat="1" applyFont="1" applyFill="1" applyBorder="1" applyAlignment="1">
      <alignment horizontal="center" wrapText="1"/>
    </xf>
    <xf numFmtId="0" fontId="4" fillId="0" borderId="32" xfId="0" applyFont="1" applyBorder="1"/>
    <xf numFmtId="0" fontId="4" fillId="0" borderId="33" xfId="0" applyFont="1" applyBorder="1"/>
    <xf numFmtId="0" fontId="27" fillId="16" borderId="50" xfId="0" applyFont="1" applyFill="1" applyBorder="1" applyAlignment="1">
      <alignment horizontal="center" wrapText="1"/>
    </xf>
    <xf numFmtId="0" fontId="4" fillId="0" borderId="50" xfId="0" applyFont="1" applyBorder="1"/>
    <xf numFmtId="0" fontId="27" fillId="24" borderId="50" xfId="0" applyFont="1" applyFill="1" applyBorder="1" applyAlignment="1">
      <alignment horizontal="center" wrapText="1"/>
    </xf>
    <xf numFmtId="0" fontId="24" fillId="19" borderId="28" xfId="0" applyFont="1" applyFill="1" applyBorder="1" applyAlignment="1">
      <alignment horizontal="center" wrapText="1"/>
    </xf>
    <xf numFmtId="164" fontId="26" fillId="13" borderId="12" xfId="0" applyNumberFormat="1" applyFont="1" applyFill="1" applyBorder="1" applyAlignment="1">
      <alignment horizontal="center" wrapText="1"/>
    </xf>
    <xf numFmtId="0" fontId="4" fillId="0" borderId="13" xfId="0" applyFont="1" applyBorder="1"/>
    <xf numFmtId="0" fontId="4" fillId="0" borderId="43" xfId="0" applyFont="1" applyBorder="1"/>
    <xf numFmtId="0" fontId="24" fillId="17" borderId="47" xfId="0" applyFont="1" applyFill="1" applyBorder="1" applyAlignment="1">
      <alignment horizontal="center" wrapText="1"/>
    </xf>
    <xf numFmtId="0" fontId="4" fillId="0" borderId="29" xfId="0" applyFont="1" applyBorder="1"/>
    <xf numFmtId="0" fontId="27" fillId="18" borderId="12" xfId="0" applyFont="1" applyFill="1" applyBorder="1" applyAlignment="1">
      <alignment horizontal="center" wrapText="1"/>
    </xf>
    <xf numFmtId="0" fontId="24" fillId="5" borderId="47" xfId="0" applyFont="1" applyFill="1" applyBorder="1" applyAlignment="1">
      <alignment horizontal="center" wrapText="1"/>
    </xf>
    <xf numFmtId="0" fontId="24" fillId="17" borderId="35" xfId="0" applyFont="1" applyFill="1" applyBorder="1" applyAlignment="1">
      <alignment horizontal="center" wrapText="1"/>
    </xf>
    <xf numFmtId="0" fontId="24" fillId="11" borderId="12" xfId="0" applyFont="1" applyFill="1" applyBorder="1" applyAlignment="1">
      <alignment horizontal="center" wrapText="1"/>
    </xf>
    <xf numFmtId="3" fontId="26" fillId="5" borderId="31" xfId="0" applyNumberFormat="1" applyFont="1" applyFill="1" applyBorder="1" applyAlignment="1">
      <alignment horizontal="center" wrapText="1"/>
    </xf>
    <xf numFmtId="0" fontId="26" fillId="4" borderId="0" xfId="0" applyFont="1" applyFill="1" applyAlignment="1">
      <alignment horizontal="center" wrapText="1"/>
    </xf>
    <xf numFmtId="0" fontId="4" fillId="0" borderId="18" xfId="0" applyFont="1" applyBorder="1"/>
    <xf numFmtId="0" fontId="24" fillId="13" borderId="2" xfId="0" applyFont="1" applyFill="1" applyBorder="1" applyAlignment="1">
      <alignment horizontal="center" wrapText="1"/>
    </xf>
    <xf numFmtId="0" fontId="24" fillId="14" borderId="47" xfId="0" applyFont="1" applyFill="1" applyBorder="1" applyAlignment="1">
      <alignment horizontal="center" wrapText="1"/>
    </xf>
    <xf numFmtId="0" fontId="24" fillId="6" borderId="15" xfId="0" applyFont="1" applyFill="1" applyBorder="1" applyAlignment="1">
      <alignment horizontal="center" wrapText="1"/>
    </xf>
    <xf numFmtId="0" fontId="2" fillId="3" borderId="32" xfId="0" applyFont="1" applyFill="1" applyBorder="1" applyAlignment="1">
      <alignment horizontal="center" wrapText="1"/>
    </xf>
    <xf numFmtId="0" fontId="3" fillId="4" borderId="21" xfId="0" applyFont="1" applyFill="1" applyBorder="1" applyAlignment="1">
      <alignment wrapText="1"/>
    </xf>
    <xf numFmtId="0" fontId="4" fillId="0" borderId="22" xfId="0" applyFont="1" applyBorder="1"/>
    <xf numFmtId="0" fontId="4" fillId="0" borderId="23" xfId="0" applyFont="1" applyBorder="1"/>
    <xf numFmtId="0" fontId="8" fillId="4" borderId="27" xfId="0" applyFont="1" applyFill="1" applyBorder="1" applyAlignment="1">
      <alignment wrapText="1"/>
    </xf>
    <xf numFmtId="0" fontId="2" fillId="4" borderId="0" xfId="0" applyFont="1" applyFill="1" applyAlignment="1">
      <alignment horizontal="center" wrapText="1"/>
    </xf>
    <xf numFmtId="0" fontId="8" fillId="4" borderId="15" xfId="0" applyFont="1" applyFill="1" applyBorder="1" applyAlignment="1">
      <alignment wrapText="1"/>
    </xf>
    <xf numFmtId="0" fontId="2" fillId="3" borderId="0" xfId="0" applyFont="1" applyFill="1" applyAlignment="1">
      <alignment horizontal="center" wrapText="1"/>
    </xf>
    <xf numFmtId="0" fontId="3" fillId="4" borderId="2" xfId="0" applyFont="1" applyFill="1" applyBorder="1" applyAlignment="1">
      <alignment wrapText="1"/>
    </xf>
    <xf numFmtId="0" fontId="2" fillId="5" borderId="6" xfId="0" applyFont="1" applyFill="1" applyBorder="1" applyAlignment="1">
      <alignment horizontal="center" wrapText="1"/>
    </xf>
    <xf numFmtId="0" fontId="4" fillId="0" borderId="16" xfId="0" applyFont="1" applyBorder="1"/>
    <xf numFmtId="0" fontId="4" fillId="0" borderId="25" xfId="0" applyFont="1" applyBorder="1"/>
    <xf numFmtId="0" fontId="2" fillId="0" borderId="8" xfId="0" applyFont="1" applyBorder="1" applyAlignment="1">
      <alignment horizontal="center" wrapText="1"/>
    </xf>
    <xf numFmtId="0" fontId="3" fillId="4" borderId="12" xfId="0" applyFont="1" applyFill="1" applyBorder="1" applyAlignment="1">
      <alignment wrapText="1"/>
    </xf>
    <xf numFmtId="0" fontId="51" fillId="4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D201"/>
  <sheetViews>
    <sheetView tabSelected="1" topLeftCell="DJ1" zoomScale="85" zoomScaleNormal="85" workbookViewId="0">
      <selection activeCell="DO18" sqref="DO18"/>
    </sheetView>
  </sheetViews>
  <sheetFormatPr baseColWidth="10" defaultColWidth="12.5703125" defaultRowHeight="15.75" customHeight="1"/>
  <cols>
    <col min="11" max="11" width="18.28515625" customWidth="1"/>
    <col min="37" max="37" width="13.28515625" customWidth="1"/>
    <col min="103" max="115" width="7" customWidth="1"/>
  </cols>
  <sheetData>
    <row r="1" spans="1:212" ht="22.5" customHeight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3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/>
      <c r="CH1" s="1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4"/>
      <c r="DN1" s="144"/>
      <c r="DO1" s="144"/>
      <c r="DP1" s="144"/>
      <c r="DQ1" s="144"/>
      <c r="DR1" s="144"/>
      <c r="DS1" s="144"/>
      <c r="DT1" s="145" t="s">
        <v>0</v>
      </c>
      <c r="DU1" s="146">
        <f t="shared" ref="DU1:DU6" si="0">COUNTIF($DT$10:$DT$166,DT1)</f>
        <v>0</v>
      </c>
      <c r="DV1" s="146" t="s">
        <v>1</v>
      </c>
      <c r="DW1" s="146">
        <f>COUNTIF($DU$10:$DU$166,DV1)</f>
        <v>0</v>
      </c>
      <c r="DX1" s="142"/>
      <c r="DY1" s="142"/>
      <c r="DZ1" s="142"/>
      <c r="EA1" s="142"/>
      <c r="EB1" s="142"/>
      <c r="EC1" s="142"/>
      <c r="ED1" s="147"/>
      <c r="EE1" s="147"/>
      <c r="EF1" s="147"/>
      <c r="EG1" s="147"/>
      <c r="EH1" s="147"/>
      <c r="EI1" s="147"/>
      <c r="EJ1" s="142"/>
      <c r="EK1" s="142"/>
      <c r="EL1" s="142"/>
      <c r="EM1" s="148"/>
      <c r="EN1" s="142"/>
      <c r="EO1" s="142"/>
      <c r="EP1" s="142"/>
      <c r="EQ1" s="144"/>
      <c r="ER1" s="142"/>
      <c r="ES1" s="142"/>
      <c r="ET1" s="142"/>
      <c r="EU1" s="142"/>
      <c r="EV1" s="142"/>
      <c r="EW1" s="142"/>
      <c r="EX1" s="2" t="s">
        <v>2</v>
      </c>
      <c r="EY1" s="3">
        <f t="shared" ref="EY1:EY5" si="1">COUNTIF($EY$10:$EY$166,EX1)</f>
        <v>0</v>
      </c>
      <c r="EZ1" s="142"/>
      <c r="FA1" s="142"/>
      <c r="FB1" s="142"/>
      <c r="FC1" s="142"/>
      <c r="FD1" s="142"/>
      <c r="FE1" s="142"/>
      <c r="FF1" s="142"/>
      <c r="FG1" s="142"/>
      <c r="FH1" s="142"/>
      <c r="FI1" s="142"/>
      <c r="FJ1" s="142"/>
      <c r="FK1" s="142"/>
      <c r="FL1" s="142"/>
      <c r="FM1" s="142"/>
      <c r="FN1" s="142"/>
      <c r="FO1" s="142"/>
      <c r="FP1" s="142"/>
      <c r="FQ1" s="142"/>
      <c r="FR1" s="142"/>
      <c r="FS1" s="148"/>
      <c r="FT1" s="147"/>
      <c r="FU1" s="142"/>
      <c r="FV1" s="142"/>
      <c r="FW1" s="146">
        <f t="shared" ref="FW1:FW3" si="2">COUNTIF(FV10:FV141,FX1)</f>
        <v>0</v>
      </c>
      <c r="FX1" s="146">
        <f>FV30</f>
        <v>0</v>
      </c>
      <c r="FY1" s="146" t="s">
        <v>3</v>
      </c>
      <c r="FZ1" s="146">
        <f>COUNTIF(FV10:FV1000,"12. INGENIERIA")</f>
        <v>0</v>
      </c>
      <c r="GA1" s="142"/>
      <c r="GB1" s="142"/>
      <c r="GC1" s="142"/>
      <c r="GD1" s="142"/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/>
      <c r="GP1" s="142"/>
      <c r="GQ1" s="142"/>
      <c r="GR1" s="142"/>
      <c r="GS1" s="142"/>
      <c r="GT1" s="142"/>
      <c r="GU1" s="142"/>
      <c r="GV1" s="142"/>
      <c r="GW1" s="142"/>
      <c r="GX1" s="142"/>
      <c r="GY1" s="142"/>
      <c r="GZ1" s="142"/>
      <c r="HA1" s="142"/>
      <c r="HB1" s="142"/>
      <c r="HC1" s="142"/>
      <c r="HD1" s="142"/>
    </row>
    <row r="2" spans="1:212" ht="22.5" customHeight="1">
      <c r="A2" s="358" t="s">
        <v>4</v>
      </c>
      <c r="B2" s="277"/>
      <c r="C2" s="278"/>
      <c r="D2" s="4">
        <f ca="1">COUNTIF(K10:K1477,"APROBADO")</f>
        <v>1</v>
      </c>
      <c r="E2" s="359">
        <f ca="1">(D2+D3+D4)</f>
        <v>1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9" t="s">
        <v>5</v>
      </c>
      <c r="X2" s="142"/>
      <c r="Y2" s="142"/>
      <c r="Z2" s="142"/>
      <c r="AA2" s="142"/>
      <c r="AB2" s="142"/>
      <c r="AC2" s="142"/>
      <c r="AD2" s="5" t="s">
        <v>6</v>
      </c>
      <c r="AE2" s="362">
        <f ca="1">COUNTIF(AE9:AE199,"SI")</f>
        <v>1</v>
      </c>
      <c r="AF2" s="293"/>
      <c r="AG2" s="142"/>
      <c r="AH2" s="142"/>
      <c r="AI2" s="142"/>
      <c r="AJ2" s="144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309"/>
      <c r="AY2" s="298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3" t="s">
        <v>7</v>
      </c>
      <c r="BP2" s="3">
        <f t="shared" ref="BP2:BP6" si="3">COUNTIF($BQ$10:$BQ$166,BO2)</f>
        <v>0</v>
      </c>
      <c r="BQ2" s="6" t="s">
        <v>8</v>
      </c>
      <c r="BR2" s="3">
        <f t="shared" ref="BR2:BR5" si="4">COUNTIF($BR$10:$BR$166,BQ2)</f>
        <v>2</v>
      </c>
      <c r="BS2" s="142"/>
      <c r="BT2" s="142"/>
      <c r="BU2" s="142"/>
      <c r="BV2" s="142"/>
      <c r="BW2" s="142"/>
      <c r="BX2" s="142"/>
      <c r="BY2" s="142"/>
      <c r="BZ2" s="142"/>
      <c r="CA2" s="142"/>
      <c r="CB2" s="142"/>
      <c r="CC2" s="142"/>
      <c r="CD2" s="142"/>
      <c r="CE2" s="142"/>
      <c r="CF2" s="142"/>
      <c r="CG2" s="142"/>
      <c r="CH2" s="142"/>
      <c r="CI2" s="142"/>
      <c r="CJ2" s="142"/>
      <c r="CK2" s="142"/>
      <c r="CL2" s="142"/>
      <c r="CM2" s="142"/>
      <c r="CN2" s="142"/>
      <c r="CO2" s="142"/>
      <c r="CP2" s="142"/>
      <c r="CQ2" s="142"/>
      <c r="CR2" s="142"/>
      <c r="CS2" s="142"/>
      <c r="CT2" s="142"/>
      <c r="CU2" s="142"/>
      <c r="CV2" s="142"/>
      <c r="CW2" s="142"/>
      <c r="CX2" s="142"/>
      <c r="CY2" s="142"/>
      <c r="CZ2" s="142"/>
      <c r="DA2" s="142"/>
      <c r="DB2" s="142"/>
      <c r="DC2" s="142"/>
      <c r="DD2" s="142"/>
      <c r="DE2" s="142"/>
      <c r="DF2" s="142"/>
      <c r="DG2" s="142"/>
      <c r="DH2" s="142"/>
      <c r="DI2" s="142"/>
      <c r="DJ2" s="142"/>
      <c r="DK2" s="142"/>
      <c r="DL2" s="150" t="s">
        <v>9</v>
      </c>
      <c r="DM2" s="2" t="s">
        <v>10</v>
      </c>
      <c r="DN2" s="7">
        <f t="shared" ref="DN2:DN5" si="5">COUNTIF($DN$10:$DN$166,DM2)</f>
        <v>3</v>
      </c>
      <c r="DO2" s="2" t="s">
        <v>11</v>
      </c>
      <c r="DP2" s="7">
        <f t="shared" ref="DP2:DP6" si="6">COUNTIF($DQ$10:$DQ$166,DO2)</f>
        <v>0</v>
      </c>
      <c r="DQ2" s="8" t="s">
        <v>12</v>
      </c>
      <c r="DR2" s="7">
        <f t="shared" ref="DR2:DR6" si="7">COUNTIF($DQ$10:$DQ$166,DQ2)</f>
        <v>0</v>
      </c>
      <c r="DS2" s="142"/>
      <c r="DT2" s="145" t="s">
        <v>13</v>
      </c>
      <c r="DU2" s="146">
        <f t="shared" si="0"/>
        <v>0</v>
      </c>
      <c r="DV2" s="146" t="s">
        <v>14</v>
      </c>
      <c r="DW2" s="146">
        <f t="shared" ref="DW2:DW5" si="8">COUNTIF($DT$10:$DT$166,DV2)</f>
        <v>0</v>
      </c>
      <c r="DX2" s="146" t="s">
        <v>15</v>
      </c>
      <c r="DY2" s="146">
        <f>COUNTIF(DU10:DU166,DX2)</f>
        <v>0</v>
      </c>
      <c r="DZ2" s="146">
        <f>SUM(DU2:DU6)+SUM(DW2:DW5)+SUM(DY2:DY6)</f>
        <v>3</v>
      </c>
      <c r="EA2" s="142"/>
      <c r="EB2" s="142"/>
      <c r="EC2" s="142"/>
      <c r="ED2" s="147"/>
      <c r="EE2" s="147"/>
      <c r="EF2" s="147"/>
      <c r="EG2" s="147"/>
      <c r="EH2" s="147"/>
      <c r="EI2" s="147"/>
      <c r="EJ2" s="142"/>
      <c r="EK2" s="142"/>
      <c r="EL2" s="142"/>
      <c r="EM2" s="148"/>
      <c r="EN2" s="142"/>
      <c r="EO2" s="142"/>
      <c r="EP2" s="142"/>
      <c r="EQ2" s="144"/>
      <c r="ER2" s="142"/>
      <c r="ES2" s="142"/>
      <c r="ET2" s="142"/>
      <c r="EU2" s="142"/>
      <c r="EV2" s="142"/>
      <c r="EW2" s="142"/>
      <c r="EX2" s="2" t="s">
        <v>16</v>
      </c>
      <c r="EY2" s="3">
        <f t="shared" si="1"/>
        <v>0</v>
      </c>
      <c r="EZ2" s="142"/>
      <c r="FA2" s="142"/>
      <c r="FB2" s="142"/>
      <c r="FC2" s="142"/>
      <c r="FD2" s="142"/>
      <c r="FE2" s="142"/>
      <c r="FF2" s="142"/>
      <c r="FG2" s="142"/>
      <c r="FH2" s="142"/>
      <c r="FI2" s="142"/>
      <c r="FJ2" s="142"/>
      <c r="FK2" s="142"/>
      <c r="FL2" s="142"/>
      <c r="FM2" s="9" t="s">
        <v>17</v>
      </c>
      <c r="FN2" s="10"/>
      <c r="FO2" s="9" t="s">
        <v>18</v>
      </c>
      <c r="FP2" s="10"/>
      <c r="FQ2" s="10"/>
      <c r="FR2" s="142"/>
      <c r="FS2" s="148"/>
      <c r="FT2" s="147"/>
      <c r="FU2" s="142"/>
      <c r="FV2" s="142"/>
      <c r="FW2" s="146">
        <f t="shared" si="2"/>
        <v>0</v>
      </c>
      <c r="FX2" s="146">
        <f>FV18</f>
        <v>0</v>
      </c>
      <c r="FY2" s="142"/>
      <c r="FZ2" s="142"/>
      <c r="GA2" s="142"/>
      <c r="GB2" s="142"/>
      <c r="GC2" s="142"/>
      <c r="GD2" s="142"/>
      <c r="GE2" s="142"/>
      <c r="GF2" s="142"/>
      <c r="GG2" s="142"/>
      <c r="GH2" s="142"/>
      <c r="GI2" s="142"/>
      <c r="GJ2" s="142"/>
      <c r="GK2" s="142"/>
      <c r="GL2" s="142"/>
      <c r="GM2" s="142"/>
      <c r="GN2" s="142"/>
      <c r="GO2" s="142"/>
      <c r="GP2" s="142"/>
      <c r="GQ2" s="142"/>
      <c r="GR2" s="142"/>
      <c r="GS2" s="142"/>
      <c r="GT2" s="142"/>
      <c r="GU2" s="142"/>
      <c r="GV2" s="142"/>
      <c r="GW2" s="142"/>
      <c r="GX2" s="142"/>
      <c r="GY2" s="142"/>
      <c r="GZ2" s="142"/>
      <c r="HA2" s="142"/>
      <c r="HB2" s="142"/>
      <c r="HC2" s="142"/>
      <c r="HD2" s="142"/>
    </row>
    <row r="3" spans="1:212" ht="22.5" customHeight="1">
      <c r="A3" s="363" t="s">
        <v>19</v>
      </c>
      <c r="B3" s="336"/>
      <c r="C3" s="316"/>
      <c r="D3" s="11">
        <f ca="1">COUNTIF(K10:K1477,"PAQUETE COMPLETO")</f>
        <v>0</v>
      </c>
      <c r="E3" s="360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2" t="s">
        <v>20</v>
      </c>
      <c r="AE3" s="357">
        <f ca="1">COUNTIF(AD9:AD199,"SI")</f>
        <v>0</v>
      </c>
      <c r="AF3" s="346"/>
      <c r="AG3" s="142"/>
      <c r="AH3" s="142"/>
      <c r="AI3" s="142"/>
      <c r="AJ3" s="144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309"/>
      <c r="AY3" s="298"/>
      <c r="AZ3" s="142"/>
      <c r="BA3" s="142"/>
      <c r="BB3" s="142"/>
      <c r="BC3" s="142"/>
      <c r="BD3" s="142"/>
      <c r="BE3" s="142"/>
      <c r="BF3" s="142"/>
      <c r="BG3" s="142"/>
      <c r="BH3" s="13" t="s">
        <v>21</v>
      </c>
      <c r="BI3" s="14">
        <f t="shared" ref="BI3:BI6" si="9">COUNTIF($BH$9:$BH$166,BH3)</f>
        <v>2</v>
      </c>
      <c r="BJ3" s="142"/>
      <c r="BK3" s="15" t="s">
        <v>22</v>
      </c>
      <c r="BL3" s="14">
        <f t="shared" ref="BL3:BL5" si="10">COUNTIF($AV$11:$AV$166,BK3)</f>
        <v>0</v>
      </c>
      <c r="BM3" s="15" t="s">
        <v>23</v>
      </c>
      <c r="BN3" s="14">
        <f>COUNTIF($BO$11:$BO$166,BM3)</f>
        <v>0</v>
      </c>
      <c r="BO3" s="16" t="s">
        <v>24</v>
      </c>
      <c r="BP3" s="3">
        <f t="shared" si="3"/>
        <v>2</v>
      </c>
      <c r="BQ3" s="6" t="s">
        <v>25</v>
      </c>
      <c r="BR3" s="3">
        <f t="shared" si="4"/>
        <v>1</v>
      </c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  <c r="CR3" s="142"/>
      <c r="CS3" s="142"/>
      <c r="CT3" s="142"/>
      <c r="CU3" s="142"/>
      <c r="CV3" s="142"/>
      <c r="CW3" s="142"/>
      <c r="CX3" s="142"/>
      <c r="CY3" s="142"/>
      <c r="CZ3" s="142"/>
      <c r="DA3" s="142"/>
      <c r="DB3" s="142"/>
      <c r="DC3" s="142"/>
      <c r="DD3" s="142"/>
      <c r="DE3" s="142"/>
      <c r="DF3" s="142"/>
      <c r="DG3" s="142"/>
      <c r="DH3" s="142"/>
      <c r="DI3" s="142"/>
      <c r="DJ3" s="142"/>
      <c r="DK3" s="142"/>
      <c r="DL3" s="142"/>
      <c r="DM3" s="2" t="s">
        <v>26</v>
      </c>
      <c r="DN3" s="7">
        <f t="shared" si="5"/>
        <v>0</v>
      </c>
      <c r="DO3" s="8" t="s">
        <v>27</v>
      </c>
      <c r="DP3" s="7">
        <f t="shared" si="6"/>
        <v>1</v>
      </c>
      <c r="DQ3" s="8" t="s">
        <v>28</v>
      </c>
      <c r="DR3" s="7">
        <f t="shared" si="7"/>
        <v>0</v>
      </c>
      <c r="DS3" s="142"/>
      <c r="DT3" s="145" t="s">
        <v>29</v>
      </c>
      <c r="DU3" s="146">
        <f t="shared" si="0"/>
        <v>0</v>
      </c>
      <c r="DV3" s="146" t="s">
        <v>30</v>
      </c>
      <c r="DW3" s="146">
        <f t="shared" si="8"/>
        <v>0</v>
      </c>
      <c r="DX3" s="146" t="s">
        <v>31</v>
      </c>
      <c r="DY3" s="146">
        <f>COUNTIF(DU11:DU166,DX3)</f>
        <v>0</v>
      </c>
      <c r="DZ3" s="142"/>
      <c r="EA3" s="142"/>
      <c r="EB3" s="147"/>
      <c r="EC3" s="147"/>
      <c r="ED3" s="147"/>
      <c r="EE3" s="147"/>
      <c r="EF3" s="147"/>
      <c r="EG3" s="147"/>
      <c r="EH3" s="147"/>
      <c r="EI3" s="147"/>
      <c r="EJ3" s="142"/>
      <c r="EK3" s="142"/>
      <c r="EL3" s="142"/>
      <c r="EM3" s="148"/>
      <c r="EN3" s="142"/>
      <c r="EO3" s="142"/>
      <c r="EP3" s="142"/>
      <c r="EQ3" s="142"/>
      <c r="ER3" s="142"/>
      <c r="ES3" s="142"/>
      <c r="ET3" s="142"/>
      <c r="EU3" s="142"/>
      <c r="EV3" s="142"/>
      <c r="EW3" s="142"/>
      <c r="EX3" s="2" t="s">
        <v>32</v>
      </c>
      <c r="EY3" s="3">
        <f t="shared" si="1"/>
        <v>0</v>
      </c>
      <c r="EZ3" s="142"/>
      <c r="FA3" s="142"/>
      <c r="FB3" s="142"/>
      <c r="FC3" s="142"/>
      <c r="FD3" s="142"/>
      <c r="FE3" s="142"/>
      <c r="FF3" s="142"/>
      <c r="FG3" s="142"/>
      <c r="FH3" s="142"/>
      <c r="FI3" s="142"/>
      <c r="FJ3" s="147"/>
      <c r="FK3" s="142"/>
      <c r="FL3" s="147"/>
      <c r="FM3" s="9" t="s">
        <v>33</v>
      </c>
      <c r="FN3" s="17"/>
      <c r="FO3" s="9" t="s">
        <v>1</v>
      </c>
      <c r="FP3" s="10"/>
      <c r="FQ3" s="10"/>
      <c r="FR3" s="142"/>
      <c r="FS3" s="148"/>
      <c r="FT3" s="147"/>
      <c r="FU3" s="142"/>
      <c r="FV3" s="142"/>
      <c r="FW3" s="146">
        <f t="shared" si="2"/>
        <v>0</v>
      </c>
      <c r="FX3" s="146">
        <f>FV46</f>
        <v>0</v>
      </c>
      <c r="FY3" s="142"/>
      <c r="FZ3" s="142"/>
      <c r="GA3" s="142"/>
      <c r="GB3" s="142"/>
      <c r="GC3" s="142"/>
      <c r="GD3" s="142"/>
      <c r="GE3" s="142"/>
      <c r="GF3" s="142"/>
      <c r="GG3" s="142"/>
      <c r="GH3" s="142"/>
      <c r="GI3" s="142"/>
      <c r="GJ3" s="142"/>
      <c r="GK3" s="142"/>
      <c r="GL3" s="142"/>
      <c r="GM3" s="142"/>
      <c r="GN3" s="142"/>
      <c r="GO3" s="142"/>
      <c r="GP3" s="142"/>
      <c r="GQ3" s="142"/>
      <c r="GR3" s="142"/>
      <c r="GS3" s="142"/>
      <c r="GT3" s="142"/>
      <c r="GU3" s="142"/>
      <c r="GV3" s="142"/>
      <c r="GW3" s="142"/>
      <c r="GX3" s="142"/>
      <c r="GY3" s="142"/>
      <c r="GZ3" s="142"/>
      <c r="HA3" s="142"/>
      <c r="HB3" s="142"/>
      <c r="HC3" s="142"/>
      <c r="HD3" s="142"/>
    </row>
    <row r="4" spans="1:212" ht="22.5" customHeight="1">
      <c r="A4" s="351" t="s">
        <v>34</v>
      </c>
      <c r="B4" s="352"/>
      <c r="C4" s="353"/>
      <c r="D4" s="18">
        <f ca="1">COUNTIF(K10:K1477,"EN PROCESO")</f>
        <v>0</v>
      </c>
      <c r="E4" s="361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2" t="s">
        <v>24</v>
      </c>
      <c r="AE4" s="357">
        <f ca="1">COUNTIF(AF9:AF200,"SI")</f>
        <v>0</v>
      </c>
      <c r="AF4" s="346"/>
      <c r="AG4" s="142"/>
      <c r="AH4" s="142"/>
      <c r="AI4" s="142"/>
      <c r="AJ4" s="144"/>
      <c r="AK4" s="142"/>
      <c r="AL4" s="142"/>
      <c r="AM4" s="142"/>
      <c r="AN4" s="142"/>
      <c r="AO4" s="142"/>
      <c r="AP4" s="142"/>
      <c r="AQ4" s="142"/>
      <c r="AR4" s="19" t="s">
        <v>35</v>
      </c>
      <c r="AS4" s="20" t="s">
        <v>36</v>
      </c>
      <c r="AT4" s="20" t="s">
        <v>37</v>
      </c>
      <c r="AU4" s="21" t="s">
        <v>38</v>
      </c>
      <c r="AV4" s="21" t="s">
        <v>38</v>
      </c>
      <c r="AW4" s="142"/>
      <c r="AX4" s="309"/>
      <c r="AY4" s="298"/>
      <c r="AZ4" s="142"/>
      <c r="BA4" s="142"/>
      <c r="BB4" s="142"/>
      <c r="BC4" s="142"/>
      <c r="BD4" s="142"/>
      <c r="BE4" s="142"/>
      <c r="BF4" s="142"/>
      <c r="BG4" s="142"/>
      <c r="BH4" s="13" t="s">
        <v>39</v>
      </c>
      <c r="BI4" s="14">
        <f t="shared" si="9"/>
        <v>1</v>
      </c>
      <c r="BJ4" s="142"/>
      <c r="BK4" s="22" t="s">
        <v>40</v>
      </c>
      <c r="BL4" s="14">
        <f t="shared" si="10"/>
        <v>0</v>
      </c>
      <c r="BM4" s="22" t="s">
        <v>40</v>
      </c>
      <c r="BN4" s="14">
        <f t="shared" ref="BN4:BN5" si="11">COUNTIF($AV$11:$AV$166,BM4)</f>
        <v>0</v>
      </c>
      <c r="BO4" s="16" t="s">
        <v>41</v>
      </c>
      <c r="BP4" s="3">
        <f t="shared" si="3"/>
        <v>1</v>
      </c>
      <c r="BQ4" s="6" t="s">
        <v>42</v>
      </c>
      <c r="BR4" s="3">
        <f t="shared" si="4"/>
        <v>0</v>
      </c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326" t="s">
        <v>43</v>
      </c>
      <c r="CZ4" s="298"/>
      <c r="DA4" s="298"/>
      <c r="DB4" s="298"/>
      <c r="DC4" s="298"/>
      <c r="DD4" s="298"/>
      <c r="DE4" s="298"/>
      <c r="DF4" s="298"/>
      <c r="DG4" s="298"/>
      <c r="DH4" s="298"/>
      <c r="DI4" s="298"/>
      <c r="DJ4" s="298"/>
      <c r="DK4" s="298"/>
      <c r="DL4" s="150" t="s">
        <v>44</v>
      </c>
      <c r="DM4" s="2" t="s">
        <v>10</v>
      </c>
      <c r="DN4" s="7">
        <f t="shared" si="5"/>
        <v>3</v>
      </c>
      <c r="DO4" s="8" t="s">
        <v>45</v>
      </c>
      <c r="DP4" s="7">
        <f t="shared" si="6"/>
        <v>0</v>
      </c>
      <c r="DQ4" s="8" t="s">
        <v>46</v>
      </c>
      <c r="DR4" s="7">
        <f t="shared" si="7"/>
        <v>0</v>
      </c>
      <c r="DS4" s="142"/>
      <c r="DT4" s="145" t="s">
        <v>47</v>
      </c>
      <c r="DU4" s="146">
        <f t="shared" si="0"/>
        <v>0</v>
      </c>
      <c r="DV4" s="146" t="s">
        <v>48</v>
      </c>
      <c r="DW4" s="146">
        <f t="shared" si="8"/>
        <v>0</v>
      </c>
      <c r="DX4" s="146" t="s">
        <v>49</v>
      </c>
      <c r="DY4" s="146">
        <f>COUNTIF(DU12:DU166,DX4)</f>
        <v>0</v>
      </c>
      <c r="DZ4" s="142"/>
      <c r="EA4" s="142"/>
      <c r="EB4" s="147"/>
      <c r="EC4" s="147"/>
      <c r="ED4" s="147"/>
      <c r="EE4" s="147"/>
      <c r="EF4" s="147"/>
      <c r="EG4" s="147"/>
      <c r="EH4" s="147"/>
      <c r="EI4" s="147"/>
      <c r="EJ4" s="142"/>
      <c r="EK4" s="142"/>
      <c r="EL4" s="142"/>
      <c r="EM4" s="148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2" t="s">
        <v>50</v>
      </c>
      <c r="EY4" s="3">
        <f t="shared" si="1"/>
        <v>0</v>
      </c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7"/>
      <c r="FK4" s="142"/>
      <c r="FL4" s="147"/>
      <c r="FM4" s="9" t="s">
        <v>51</v>
      </c>
      <c r="FN4" s="17"/>
      <c r="FO4" s="10"/>
      <c r="FP4" s="10"/>
      <c r="FQ4" s="10"/>
      <c r="FR4" s="142"/>
      <c r="FS4" s="148"/>
      <c r="FT4" s="147"/>
      <c r="FU4" s="142"/>
      <c r="FV4" s="142"/>
      <c r="FW4" s="152">
        <f>SUM(FW1:FW3)</f>
        <v>0</v>
      </c>
      <c r="FX4" s="142"/>
      <c r="FY4" s="142"/>
      <c r="FZ4" s="142"/>
      <c r="GA4" s="142"/>
      <c r="GB4" s="142"/>
      <c r="GC4" s="142"/>
      <c r="GD4" s="142"/>
      <c r="GE4" s="142"/>
      <c r="GF4" s="142"/>
      <c r="GG4" s="142"/>
      <c r="GH4" s="142"/>
      <c r="GI4" s="142"/>
      <c r="GJ4" s="142"/>
      <c r="GK4" s="142"/>
      <c r="GL4" s="142"/>
      <c r="GM4" s="142"/>
      <c r="GN4" s="142"/>
      <c r="GO4" s="142"/>
      <c r="GP4" s="142"/>
      <c r="GQ4" s="142"/>
      <c r="GR4" s="142"/>
      <c r="GS4" s="142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2"/>
    </row>
    <row r="5" spans="1:212" ht="22.5" customHeight="1">
      <c r="A5" s="354" t="s">
        <v>52</v>
      </c>
      <c r="B5" s="314"/>
      <c r="C5" s="339"/>
      <c r="D5" s="23">
        <f ca="1">(COUNTIF(K10:K1477,"CANCELADO CORTADO")+COUNTIF(K10:K1477,"SE RETOMA LA PROXIMA COLECCIÓN")+COUNTIF(K10:K1477,"cancelado PAQUETE COMPLETO")+COUNTIF(K10:K1477,"cancelado se retoma para una capsula"))</f>
        <v>0</v>
      </c>
      <c r="E5" s="355">
        <f ca="1">(D5+D6)</f>
        <v>1</v>
      </c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24" t="s">
        <v>53</v>
      </c>
      <c r="AE5" s="350">
        <f ca="1">COUNTIF(AF9:AF200,"ALL OVER CON ORIENTACION")</f>
        <v>2</v>
      </c>
      <c r="AF5" s="330"/>
      <c r="AG5" s="142"/>
      <c r="AH5" s="142"/>
      <c r="AI5" s="142"/>
      <c r="AJ5" s="144"/>
      <c r="AK5" s="142"/>
      <c r="AL5" s="142"/>
      <c r="AM5" s="142"/>
      <c r="AN5" s="142"/>
      <c r="AO5" s="142"/>
      <c r="AP5" s="142"/>
      <c r="AQ5" s="142"/>
      <c r="AR5" s="25">
        <f>COUNTIF(AR15:AR166,"X")</f>
        <v>0</v>
      </c>
      <c r="AS5" s="25">
        <f>COUNTIF(AS15:AS166,"ok")</f>
        <v>0</v>
      </c>
      <c r="AT5" s="25">
        <f>COUNTIF(AT15:AT166,"OK")</f>
        <v>0</v>
      </c>
      <c r="AU5" s="26">
        <f>COUNTIF(AU10:AU166,"X")</f>
        <v>0</v>
      </c>
      <c r="AV5" s="26">
        <f>COUNTIF(AV15:AV166,"X")</f>
        <v>0</v>
      </c>
      <c r="AW5" s="327" t="s">
        <v>54</v>
      </c>
      <c r="AX5" s="298"/>
      <c r="AY5" s="298"/>
      <c r="AZ5" s="298"/>
      <c r="BA5" s="298"/>
      <c r="BB5" s="298"/>
      <c r="BC5" s="298"/>
      <c r="BD5" s="298"/>
      <c r="BE5" s="142"/>
      <c r="BF5" s="142"/>
      <c r="BG5" s="142"/>
      <c r="BH5" s="13" t="s">
        <v>55</v>
      </c>
      <c r="BI5" s="14">
        <f t="shared" si="9"/>
        <v>0</v>
      </c>
      <c r="BJ5" s="142"/>
      <c r="BK5" s="27" t="s">
        <v>23</v>
      </c>
      <c r="BL5" s="14">
        <f t="shared" si="10"/>
        <v>0</v>
      </c>
      <c r="BM5" s="27" t="s">
        <v>23</v>
      </c>
      <c r="BN5" s="14">
        <f t="shared" si="11"/>
        <v>0</v>
      </c>
      <c r="BO5" s="28" t="s">
        <v>56</v>
      </c>
      <c r="BP5" s="3">
        <f t="shared" si="3"/>
        <v>0</v>
      </c>
      <c r="BQ5" s="6" t="s">
        <v>57</v>
      </c>
      <c r="BR5" s="3">
        <f t="shared" si="4"/>
        <v>0</v>
      </c>
      <c r="BS5" s="142"/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309"/>
      <c r="CI5" s="298"/>
      <c r="CJ5" s="298"/>
      <c r="CK5" s="298"/>
      <c r="CL5" s="298"/>
      <c r="CM5" s="298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42"/>
      <c r="DA5" s="142"/>
      <c r="DB5" s="142"/>
      <c r="DC5" s="142"/>
      <c r="DD5" s="142"/>
      <c r="DE5" s="142"/>
      <c r="DF5" s="142"/>
      <c r="DG5" s="142"/>
      <c r="DH5" s="142"/>
      <c r="DI5" s="142"/>
      <c r="DJ5" s="142"/>
      <c r="DK5" s="142"/>
      <c r="DL5" s="142"/>
      <c r="DM5" s="2" t="s">
        <v>26</v>
      </c>
      <c r="DN5" s="7">
        <f t="shared" si="5"/>
        <v>0</v>
      </c>
      <c r="DO5" s="8" t="s">
        <v>58</v>
      </c>
      <c r="DP5" s="7">
        <f t="shared" si="6"/>
        <v>0</v>
      </c>
      <c r="DQ5" s="8" t="s">
        <v>59</v>
      </c>
      <c r="DR5" s="7">
        <f t="shared" si="7"/>
        <v>0</v>
      </c>
      <c r="DS5" s="142"/>
      <c r="DT5" s="145" t="s">
        <v>60</v>
      </c>
      <c r="DU5" s="146">
        <f t="shared" si="0"/>
        <v>0</v>
      </c>
      <c r="DV5" s="146" t="s">
        <v>61</v>
      </c>
      <c r="DW5" s="146">
        <f t="shared" si="8"/>
        <v>3</v>
      </c>
      <c r="DX5" s="146" t="s">
        <v>62</v>
      </c>
      <c r="DY5" s="146">
        <f>COUNTIF(DU13:DU166,DX5)</f>
        <v>0</v>
      </c>
      <c r="DZ5" s="142"/>
      <c r="EA5" s="142"/>
      <c r="EB5" s="147"/>
      <c r="EC5" s="147"/>
      <c r="ED5" s="147"/>
      <c r="EE5" s="147"/>
      <c r="EF5" s="147"/>
      <c r="EG5" s="147"/>
      <c r="EH5" s="147"/>
      <c r="EI5" s="147"/>
      <c r="EJ5" s="142"/>
      <c r="EK5" s="142"/>
      <c r="EL5" s="142"/>
      <c r="EM5" s="148"/>
      <c r="EN5" s="142"/>
      <c r="EO5" s="142"/>
      <c r="EP5" s="142"/>
      <c r="EQ5" s="142"/>
      <c r="ER5" s="142"/>
      <c r="ES5" s="142"/>
      <c r="ET5" s="142"/>
      <c r="EU5" s="142"/>
      <c r="EV5" s="142"/>
      <c r="EW5" s="142"/>
      <c r="EX5" s="2" t="s">
        <v>63</v>
      </c>
      <c r="EY5" s="3">
        <f t="shared" si="1"/>
        <v>1</v>
      </c>
      <c r="EZ5" s="142"/>
      <c r="FA5" s="142"/>
      <c r="FB5" s="142"/>
      <c r="FC5" s="142"/>
      <c r="FD5" s="142"/>
      <c r="FE5" s="142"/>
      <c r="FF5" s="142"/>
      <c r="FG5" s="142"/>
      <c r="FH5" s="142"/>
      <c r="FI5" s="142"/>
      <c r="FJ5" s="147"/>
      <c r="FK5" s="142"/>
      <c r="FL5" s="147"/>
      <c r="FM5" s="142"/>
      <c r="FN5" s="147"/>
      <c r="FO5" s="142"/>
      <c r="FP5" s="142"/>
      <c r="FQ5" s="142"/>
      <c r="FR5" s="142"/>
      <c r="FS5" s="148"/>
      <c r="FT5" s="147"/>
      <c r="FU5" s="142"/>
      <c r="FV5" s="142"/>
      <c r="FW5" s="142"/>
      <c r="FX5" s="142"/>
      <c r="FY5" s="151" t="s">
        <v>43</v>
      </c>
      <c r="FZ5" s="142"/>
      <c r="GA5" s="142"/>
      <c r="GB5" s="142"/>
      <c r="GC5" s="142"/>
      <c r="GD5" s="142"/>
      <c r="GE5" s="142"/>
      <c r="GF5" s="142"/>
      <c r="GG5" s="142"/>
      <c r="GH5" s="142"/>
      <c r="GI5" s="142"/>
      <c r="GJ5" s="142"/>
      <c r="GK5" s="142"/>
      <c r="GL5" s="142"/>
      <c r="GM5" s="142"/>
      <c r="GN5" s="142"/>
      <c r="GO5" s="142"/>
      <c r="GP5" s="142"/>
      <c r="GQ5" s="142"/>
      <c r="GR5" s="142"/>
      <c r="GS5" s="142"/>
      <c r="GT5" s="142"/>
      <c r="GU5" s="142"/>
      <c r="GV5" s="142"/>
      <c r="GW5" s="142"/>
      <c r="GX5" s="142"/>
      <c r="GY5" s="142"/>
      <c r="GZ5" s="142"/>
      <c r="HA5" s="142"/>
      <c r="HB5" s="142"/>
      <c r="HC5" s="142"/>
      <c r="HD5" s="142"/>
    </row>
    <row r="6" spans="1:212" ht="22.5" customHeight="1">
      <c r="A6" s="356" t="s">
        <v>64</v>
      </c>
      <c r="B6" s="336"/>
      <c r="C6" s="316"/>
      <c r="D6" s="29">
        <f ca="1">(COUNTIF(K10:K1477,"cancelado sin cortar")+COUNTIF(K10:K1477,"SIN CORTAR SE RETOMA PROXIMA COLECCION"))</f>
        <v>1</v>
      </c>
      <c r="E6" s="298"/>
      <c r="F6" s="142"/>
      <c r="G6" s="142"/>
      <c r="H6" s="327" t="s">
        <v>54</v>
      </c>
      <c r="I6" s="298"/>
      <c r="J6" s="298"/>
      <c r="K6" s="298"/>
      <c r="L6" s="298"/>
      <c r="M6" s="142"/>
      <c r="N6" s="142"/>
      <c r="O6" s="142"/>
      <c r="P6" s="327" t="s">
        <v>54</v>
      </c>
      <c r="Q6" s="298"/>
      <c r="R6" s="298"/>
      <c r="S6" s="298"/>
      <c r="T6" s="298"/>
      <c r="U6" s="327" t="s">
        <v>54</v>
      </c>
      <c r="V6" s="298"/>
      <c r="W6" s="298"/>
      <c r="X6" s="298"/>
      <c r="Y6" s="298"/>
      <c r="Z6" s="327" t="s">
        <v>54</v>
      </c>
      <c r="AA6" s="298"/>
      <c r="AB6" s="298"/>
      <c r="AC6" s="298"/>
      <c r="AD6" s="298"/>
      <c r="AE6" s="327" t="s">
        <v>54</v>
      </c>
      <c r="AF6" s="298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4"/>
      <c r="BH6" s="30" t="s">
        <v>65</v>
      </c>
      <c r="BI6" s="14">
        <f t="shared" si="9"/>
        <v>0</v>
      </c>
      <c r="BJ6" s="144"/>
      <c r="BK6" s="144"/>
      <c r="BL6" s="144"/>
      <c r="BM6" s="144"/>
      <c r="BN6" s="144"/>
      <c r="BO6" s="16" t="s">
        <v>65</v>
      </c>
      <c r="BP6" s="3">
        <f t="shared" si="3"/>
        <v>0</v>
      </c>
      <c r="BQ6" s="142"/>
      <c r="BR6" s="142"/>
      <c r="BS6" s="144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309"/>
      <c r="CI6" s="298"/>
      <c r="CJ6" s="298"/>
      <c r="CK6" s="298"/>
      <c r="CL6" s="298"/>
      <c r="CM6" s="298"/>
      <c r="CN6" s="142"/>
      <c r="CO6" s="309"/>
      <c r="CP6" s="298"/>
      <c r="CQ6" s="298"/>
      <c r="CR6" s="298"/>
      <c r="CS6" s="298"/>
      <c r="CT6" s="298"/>
      <c r="CU6" s="298"/>
      <c r="CV6" s="298"/>
      <c r="CW6" s="298"/>
      <c r="CX6" s="298"/>
      <c r="CY6" s="328" t="str">
        <f ca="1">IFERROR(__xludf.DUMMYFUNCTION("IMPORTRANGE(""https://docs.google.com/spreadsheets/d/1Bb73NA76XIirMSTG8_HrQcu5qpbDOdat5DzCFaDRvv4/edit?gid=1186635627#gid=1186635627"",""SV26!DL5:DL5"")"),"ACTUALIZADO CON ARCHIVO PLANEACION ENVIADO EL: 11 DICIEMBRE 2025")</f>
        <v>ACTUALIZADO CON ARCHIVO PLANEACION ENVIADO EL: 11 DICIEMBRE 2025</v>
      </c>
      <c r="CZ6" s="329"/>
      <c r="DA6" s="329"/>
      <c r="DB6" s="329"/>
      <c r="DC6" s="329"/>
      <c r="DD6" s="329"/>
      <c r="DE6" s="329"/>
      <c r="DF6" s="329"/>
      <c r="DG6" s="329"/>
      <c r="DH6" s="329"/>
      <c r="DI6" s="329"/>
      <c r="DJ6" s="329"/>
      <c r="DK6" s="330"/>
      <c r="DL6" s="142"/>
      <c r="DM6" s="142"/>
      <c r="DN6" s="142"/>
      <c r="DO6" s="31" t="s">
        <v>66</v>
      </c>
      <c r="DP6" s="7">
        <f t="shared" si="6"/>
        <v>0</v>
      </c>
      <c r="DQ6" s="31" t="s">
        <v>67</v>
      </c>
      <c r="DR6" s="7">
        <f t="shared" si="7"/>
        <v>0</v>
      </c>
      <c r="DS6" s="142"/>
      <c r="DT6" s="146" t="s">
        <v>68</v>
      </c>
      <c r="DU6" s="146">
        <f t="shared" si="0"/>
        <v>0</v>
      </c>
      <c r="DV6" s="146" t="s">
        <v>33</v>
      </c>
      <c r="DW6" s="146">
        <f>COUNTIF($DU$10:$DU$166,DV6)</f>
        <v>0</v>
      </c>
      <c r="DX6" s="146" t="s">
        <v>69</v>
      </c>
      <c r="DY6" s="146">
        <f>COUNTIF(DU14:DU166,DX6)</f>
        <v>0</v>
      </c>
      <c r="DZ6" s="142"/>
      <c r="EA6" s="142"/>
      <c r="EB6" s="147"/>
      <c r="EC6" s="147"/>
      <c r="ED6" s="147"/>
      <c r="EE6" s="147"/>
      <c r="EF6" s="147"/>
      <c r="EG6" s="147"/>
      <c r="EH6" s="147"/>
      <c r="EI6" s="147"/>
      <c r="EJ6" s="142"/>
      <c r="EK6" s="142"/>
      <c r="EL6" s="142"/>
      <c r="EM6" s="148"/>
      <c r="EN6" s="142"/>
      <c r="EO6" s="142"/>
      <c r="EP6" s="142"/>
      <c r="EQ6" s="142"/>
      <c r="ER6" s="142"/>
      <c r="ES6" s="142"/>
      <c r="ET6" s="142"/>
      <c r="EU6" s="142"/>
      <c r="EV6" s="142"/>
      <c r="EW6" s="142"/>
      <c r="EX6" s="142"/>
      <c r="EY6" s="142"/>
      <c r="EZ6" s="142"/>
      <c r="FA6" s="142"/>
      <c r="FB6" s="142"/>
      <c r="FC6" s="142"/>
      <c r="FD6" s="142"/>
      <c r="FE6" s="142"/>
      <c r="FF6" s="142"/>
      <c r="FG6" s="142"/>
      <c r="FH6" s="142"/>
      <c r="FI6" s="142"/>
      <c r="FJ6" s="142"/>
      <c r="FK6" s="142"/>
      <c r="FL6" s="142"/>
      <c r="FM6" s="142"/>
      <c r="FN6" s="142"/>
      <c r="FO6" s="142"/>
      <c r="FP6" s="142"/>
      <c r="FQ6" s="142"/>
      <c r="FR6" s="142"/>
      <c r="FS6" s="142"/>
      <c r="FT6" s="147"/>
      <c r="FU6" s="142"/>
      <c r="FV6" s="142"/>
      <c r="FW6" s="142"/>
      <c r="FX6" s="142"/>
      <c r="FY6" s="142"/>
      <c r="FZ6" s="142"/>
      <c r="GA6" s="142"/>
      <c r="GB6" s="142"/>
      <c r="GC6" s="142"/>
      <c r="GD6" s="142"/>
      <c r="GE6" s="142"/>
      <c r="GF6" s="142"/>
      <c r="GG6" s="142"/>
      <c r="GH6" s="142"/>
      <c r="GI6" s="142"/>
      <c r="GJ6" s="142"/>
      <c r="GK6" s="304"/>
      <c r="GL6" s="296"/>
      <c r="GM6" s="296"/>
      <c r="GN6" s="296"/>
      <c r="GO6" s="296"/>
      <c r="GP6" s="296"/>
      <c r="GQ6" s="296"/>
      <c r="GR6" s="296"/>
      <c r="GS6" s="296"/>
      <c r="GT6" s="296"/>
      <c r="GU6" s="296"/>
      <c r="GV6" s="296"/>
      <c r="GW6" s="296"/>
      <c r="GX6" s="296"/>
      <c r="GY6" s="296"/>
      <c r="GZ6" s="296"/>
      <c r="HA6" s="296"/>
      <c r="HB6" s="296"/>
      <c r="HC6" s="296"/>
      <c r="HD6" s="293"/>
    </row>
    <row r="7" spans="1:212" ht="39.75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305" t="s">
        <v>70</v>
      </c>
      <c r="AK7" s="306"/>
      <c r="AL7" s="306"/>
      <c r="AM7" s="306"/>
      <c r="AN7" s="306"/>
      <c r="AO7" s="306"/>
      <c r="AP7" s="307"/>
      <c r="AQ7" s="153"/>
      <c r="AR7" s="153"/>
      <c r="AS7" s="153"/>
      <c r="AT7" s="153"/>
      <c r="AU7" s="153"/>
      <c r="AV7" s="153"/>
      <c r="AW7" s="308" t="s">
        <v>71</v>
      </c>
      <c r="AX7" s="306"/>
      <c r="AY7" s="284"/>
      <c r="AZ7" s="284"/>
      <c r="BA7" s="284"/>
      <c r="BB7" s="284"/>
      <c r="BC7" s="284"/>
      <c r="BD7" s="285"/>
      <c r="BE7" s="142"/>
      <c r="BF7" s="142"/>
      <c r="BG7" s="144"/>
      <c r="BH7" s="144"/>
      <c r="BI7" s="144"/>
      <c r="BJ7" s="144"/>
      <c r="BK7" s="144"/>
      <c r="BL7" s="144"/>
      <c r="BM7" s="144"/>
      <c r="BN7" s="144"/>
      <c r="BO7" s="144"/>
      <c r="BP7" s="144"/>
      <c r="BQ7" s="144"/>
      <c r="BR7" s="144"/>
      <c r="BS7" s="144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309"/>
      <c r="CH7" s="298"/>
      <c r="CI7" s="298"/>
      <c r="CJ7" s="298"/>
      <c r="CK7" s="298"/>
      <c r="CL7" s="298"/>
      <c r="CM7" s="298"/>
      <c r="CN7" s="142"/>
      <c r="CO7" s="310" t="s">
        <v>72</v>
      </c>
      <c r="CP7" s="277"/>
      <c r="CQ7" s="277"/>
      <c r="CR7" s="277"/>
      <c r="CS7" s="277"/>
      <c r="CT7" s="277"/>
      <c r="CU7" s="277"/>
      <c r="CV7" s="277"/>
      <c r="CW7" s="277"/>
      <c r="CX7" s="280"/>
      <c r="CY7" s="311" t="s">
        <v>73</v>
      </c>
      <c r="CZ7" s="284"/>
      <c r="DA7" s="284"/>
      <c r="DB7" s="284"/>
      <c r="DC7" s="284"/>
      <c r="DD7" s="284"/>
      <c r="DE7" s="284"/>
      <c r="DF7" s="284"/>
      <c r="DG7" s="284"/>
      <c r="DH7" s="284"/>
      <c r="DI7" s="284"/>
      <c r="DJ7" s="284"/>
      <c r="DK7" s="312"/>
      <c r="DL7" s="32"/>
      <c r="DM7" s="313" t="s">
        <v>74</v>
      </c>
      <c r="DN7" s="314"/>
      <c r="DO7" s="314"/>
      <c r="DP7" s="314"/>
      <c r="DQ7" s="314"/>
      <c r="DR7" s="315" t="s">
        <v>75</v>
      </c>
      <c r="DS7" s="316"/>
      <c r="DT7" s="142"/>
      <c r="DU7" s="142"/>
      <c r="DV7" s="276" t="s">
        <v>76</v>
      </c>
      <c r="DW7" s="277"/>
      <c r="DX7" s="278"/>
      <c r="DY7" s="279" t="s">
        <v>77</v>
      </c>
      <c r="DZ7" s="277"/>
      <c r="EA7" s="277"/>
      <c r="EB7" s="280"/>
      <c r="EC7" s="281" t="s">
        <v>9</v>
      </c>
      <c r="ED7" s="277"/>
      <c r="EE7" s="277"/>
      <c r="EF7" s="277"/>
      <c r="EG7" s="277"/>
      <c r="EH7" s="277"/>
      <c r="EI7" s="277"/>
      <c r="EJ7" s="277"/>
      <c r="EK7" s="277"/>
      <c r="EL7" s="277"/>
      <c r="EM7" s="280"/>
      <c r="EN7" s="320" t="s">
        <v>78</v>
      </c>
      <c r="EO7" s="277"/>
      <c r="EP7" s="277"/>
      <c r="EQ7" s="277"/>
      <c r="ER7" s="277"/>
      <c r="ES7" s="277"/>
      <c r="ET7" s="277"/>
      <c r="EU7" s="277"/>
      <c r="EV7" s="277"/>
      <c r="EW7" s="277"/>
      <c r="EX7" s="280"/>
      <c r="EY7" s="321" t="s">
        <v>79</v>
      </c>
      <c r="EZ7" s="277"/>
      <c r="FA7" s="277"/>
      <c r="FB7" s="277"/>
      <c r="FC7" s="277"/>
      <c r="FD7" s="277"/>
      <c r="FE7" s="277"/>
      <c r="FF7" s="277"/>
      <c r="FG7" s="277"/>
      <c r="FH7" s="277"/>
      <c r="FI7" s="277"/>
      <c r="FJ7" s="277"/>
      <c r="FK7" s="280"/>
      <c r="FL7" s="33" t="s">
        <v>80</v>
      </c>
      <c r="FM7" s="322" t="s">
        <v>81</v>
      </c>
      <c r="FN7" s="323"/>
      <c r="FO7" s="323"/>
      <c r="FP7" s="323"/>
      <c r="FQ7" s="323"/>
      <c r="FR7" s="324"/>
      <c r="FS7" s="325" t="s">
        <v>82</v>
      </c>
      <c r="FT7" s="296"/>
      <c r="FU7" s="296"/>
      <c r="FV7" s="296"/>
      <c r="FW7" s="293"/>
      <c r="FX7" s="317" t="s">
        <v>83</v>
      </c>
      <c r="FY7" s="298"/>
      <c r="FZ7" s="318" t="s">
        <v>84</v>
      </c>
      <c r="GA7" s="277"/>
      <c r="GB7" s="277"/>
      <c r="GC7" s="277"/>
      <c r="GD7" s="277"/>
      <c r="GE7" s="277"/>
      <c r="GF7" s="277"/>
      <c r="GG7" s="277"/>
      <c r="GH7" s="277"/>
      <c r="GI7" s="277"/>
      <c r="GJ7" s="34"/>
      <c r="GK7" s="319" t="s">
        <v>85</v>
      </c>
      <c r="GL7" s="298"/>
      <c r="GM7" s="298"/>
      <c r="GN7" s="298"/>
      <c r="GO7" s="298"/>
      <c r="GP7" s="298"/>
      <c r="GQ7" s="298"/>
      <c r="GR7" s="298"/>
      <c r="GS7" s="298"/>
      <c r="GT7" s="298"/>
      <c r="GU7" s="298"/>
      <c r="GV7" s="298"/>
      <c r="GW7" s="298"/>
      <c r="GX7" s="298"/>
      <c r="GY7" s="298"/>
      <c r="GZ7" s="298"/>
      <c r="HA7" s="298"/>
      <c r="HB7" s="298"/>
      <c r="HC7" s="298"/>
      <c r="HD7" s="298"/>
    </row>
    <row r="8" spans="1:212" ht="38.25">
      <c r="A8" s="297" t="s">
        <v>54</v>
      </c>
      <c r="B8" s="298"/>
      <c r="C8" s="298"/>
      <c r="D8" s="298"/>
      <c r="E8" s="298"/>
      <c r="F8" s="298"/>
      <c r="G8" s="154"/>
      <c r="H8" s="299" t="s">
        <v>86</v>
      </c>
      <c r="I8" s="300"/>
      <c r="J8" s="287"/>
      <c r="K8" s="154"/>
      <c r="L8" s="154"/>
      <c r="M8" s="301" t="s">
        <v>87</v>
      </c>
      <c r="N8" s="302"/>
      <c r="O8" s="303"/>
      <c r="P8" s="154"/>
      <c r="Q8" s="154"/>
      <c r="R8" s="154"/>
      <c r="S8" s="154"/>
      <c r="T8" s="154"/>
      <c r="U8" s="154"/>
      <c r="V8" s="154"/>
      <c r="W8" s="286" t="s">
        <v>88</v>
      </c>
      <c r="X8" s="287"/>
      <c r="Y8" s="288" t="s">
        <v>89</v>
      </c>
      <c r="Z8" s="289"/>
      <c r="AA8" s="289"/>
      <c r="AB8" s="289"/>
      <c r="AC8" s="290"/>
      <c r="AD8" s="154"/>
      <c r="AE8" s="154"/>
      <c r="AF8" s="154"/>
      <c r="AG8" s="274" t="s">
        <v>90</v>
      </c>
      <c r="AH8" s="275"/>
      <c r="AI8" s="35" t="s">
        <v>91</v>
      </c>
      <c r="AJ8" s="274" t="s">
        <v>92</v>
      </c>
      <c r="AK8" s="275"/>
      <c r="AL8" s="286" t="s">
        <v>93</v>
      </c>
      <c r="AM8" s="287"/>
      <c r="AN8" s="288" t="s">
        <v>94</v>
      </c>
      <c r="AO8" s="289"/>
      <c r="AP8" s="290"/>
      <c r="AQ8" s="291"/>
      <c r="AR8" s="289"/>
      <c r="AS8" s="289"/>
      <c r="AT8" s="289"/>
      <c r="AU8" s="289"/>
      <c r="AV8" s="290"/>
      <c r="AW8" s="274" t="s">
        <v>95</v>
      </c>
      <c r="AX8" s="292"/>
      <c r="AY8" s="293"/>
      <c r="AZ8" s="294" t="s">
        <v>96</v>
      </c>
      <c r="BA8" s="293"/>
      <c r="BB8" s="294" t="s">
        <v>97</v>
      </c>
      <c r="BC8" s="293"/>
      <c r="BD8" s="36" t="s">
        <v>98</v>
      </c>
      <c r="BE8" s="295" t="s">
        <v>99</v>
      </c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82" t="s">
        <v>100</v>
      </c>
      <c r="BU8" s="277"/>
      <c r="BV8" s="277"/>
      <c r="BW8" s="277"/>
      <c r="BX8" s="277"/>
      <c r="BY8" s="280"/>
      <c r="BZ8" s="283" t="s">
        <v>101</v>
      </c>
      <c r="CA8" s="284"/>
      <c r="CB8" s="284"/>
      <c r="CC8" s="284"/>
      <c r="CD8" s="284"/>
      <c r="CE8" s="284"/>
      <c r="CF8" s="285"/>
      <c r="CG8" s="342" t="s">
        <v>102</v>
      </c>
      <c r="CH8" s="284"/>
      <c r="CI8" s="284"/>
      <c r="CJ8" s="284"/>
      <c r="CK8" s="284"/>
      <c r="CL8" s="284"/>
      <c r="CM8" s="285"/>
      <c r="CN8" s="37" t="s">
        <v>103</v>
      </c>
      <c r="CO8" s="343" t="s">
        <v>104</v>
      </c>
      <c r="CP8" s="336"/>
      <c r="CQ8" s="336"/>
      <c r="CR8" s="336"/>
      <c r="CS8" s="336"/>
      <c r="CT8" s="336"/>
      <c r="CU8" s="336"/>
      <c r="CV8" s="336"/>
      <c r="CW8" s="336"/>
      <c r="CX8" s="337"/>
      <c r="CY8" s="344">
        <f ca="1">IFERROR(__xludf.DUMMYFUNCTION("IMPORTRANGE(""https://docs.google.com/spreadsheets/d/1Bb73NA76XIirMSTG8_HrQcu5qpbDOdat5DzCFaDRvv4/edit?gid=1186635627#gid=1186635627"",""SV26!DL7:DL7"")"),16674)</f>
        <v>16674</v>
      </c>
      <c r="CZ8" s="329"/>
      <c r="DA8" s="329"/>
      <c r="DB8" s="329"/>
      <c r="DC8" s="329"/>
      <c r="DD8" s="329"/>
      <c r="DE8" s="329"/>
      <c r="DF8" s="329"/>
      <c r="DG8" s="329"/>
      <c r="DH8" s="329"/>
      <c r="DI8" s="329"/>
      <c r="DJ8" s="329"/>
      <c r="DK8" s="330"/>
      <c r="DL8" s="345" t="s">
        <v>105</v>
      </c>
      <c r="DM8" s="298"/>
      <c r="DN8" s="298"/>
      <c r="DO8" s="298"/>
      <c r="DP8" s="346"/>
      <c r="DQ8" s="38" t="s">
        <v>106</v>
      </c>
      <c r="DR8" s="39"/>
      <c r="DS8" s="155"/>
      <c r="DT8" s="347" t="s">
        <v>107</v>
      </c>
      <c r="DU8" s="280"/>
      <c r="DV8" s="40" t="s">
        <v>108</v>
      </c>
      <c r="DW8" s="41" t="s">
        <v>108</v>
      </c>
      <c r="DX8" s="42" t="s">
        <v>108</v>
      </c>
      <c r="DY8" s="43" t="s">
        <v>108</v>
      </c>
      <c r="DZ8" s="43" t="s">
        <v>108</v>
      </c>
      <c r="EA8" s="43" t="s">
        <v>94</v>
      </c>
      <c r="EB8" s="156"/>
      <c r="EC8" s="348" t="s">
        <v>109</v>
      </c>
      <c r="ED8" s="314"/>
      <c r="EE8" s="314"/>
      <c r="EF8" s="314"/>
      <c r="EG8" s="314"/>
      <c r="EH8" s="314"/>
      <c r="EI8" s="314"/>
      <c r="EJ8" s="314"/>
      <c r="EK8" s="314"/>
      <c r="EL8" s="349" t="s">
        <v>110</v>
      </c>
      <c r="EM8" s="337"/>
      <c r="EN8" s="341" t="s">
        <v>111</v>
      </c>
      <c r="EO8" s="314"/>
      <c r="EP8" s="314"/>
      <c r="EQ8" s="44" t="s">
        <v>112</v>
      </c>
      <c r="ER8" s="45" t="s">
        <v>113</v>
      </c>
      <c r="ES8" s="334" t="s">
        <v>114</v>
      </c>
      <c r="ET8" s="314"/>
      <c r="EU8" s="46" t="s">
        <v>115</v>
      </c>
      <c r="EV8" s="334" t="s">
        <v>116</v>
      </c>
      <c r="EW8" s="314"/>
      <c r="EX8" s="314"/>
      <c r="EY8" s="335" t="s">
        <v>108</v>
      </c>
      <c r="EZ8" s="336"/>
      <c r="FA8" s="336"/>
      <c r="FB8" s="336"/>
      <c r="FC8" s="336"/>
      <c r="FD8" s="336"/>
      <c r="FE8" s="336"/>
      <c r="FF8" s="336"/>
      <c r="FG8" s="336"/>
      <c r="FH8" s="337"/>
      <c r="FI8" s="47" t="s">
        <v>117</v>
      </c>
      <c r="FJ8" s="48" t="s">
        <v>108</v>
      </c>
      <c r="FK8" s="43" t="s">
        <v>108</v>
      </c>
      <c r="FL8" s="49" t="s">
        <v>108</v>
      </c>
      <c r="FM8" s="338" t="s">
        <v>118</v>
      </c>
      <c r="FN8" s="314"/>
      <c r="FO8" s="314"/>
      <c r="FP8" s="314"/>
      <c r="FQ8" s="314"/>
      <c r="FR8" s="339"/>
      <c r="FS8" s="50" t="s">
        <v>119</v>
      </c>
      <c r="FT8" s="48" t="s">
        <v>119</v>
      </c>
      <c r="FU8" s="51" t="s">
        <v>119</v>
      </c>
      <c r="FV8" s="43" t="s">
        <v>120</v>
      </c>
      <c r="FW8" s="52" t="s">
        <v>119</v>
      </c>
      <c r="FX8" s="53" t="s">
        <v>121</v>
      </c>
      <c r="FY8" s="54" t="s">
        <v>122</v>
      </c>
      <c r="FZ8" s="340" t="s">
        <v>123</v>
      </c>
      <c r="GA8" s="336"/>
      <c r="GB8" s="336"/>
      <c r="GC8" s="336"/>
      <c r="GD8" s="336"/>
      <c r="GE8" s="336"/>
      <c r="GF8" s="336"/>
      <c r="GG8" s="336"/>
      <c r="GH8" s="336"/>
      <c r="GI8" s="336"/>
      <c r="GJ8" s="55" t="s">
        <v>124</v>
      </c>
      <c r="GK8" s="56"/>
      <c r="GL8" s="57"/>
      <c r="GM8" s="333" t="s">
        <v>125</v>
      </c>
      <c r="GN8" s="332"/>
      <c r="GO8" s="332"/>
      <c r="GP8" s="331" t="s">
        <v>126</v>
      </c>
      <c r="GQ8" s="332"/>
      <c r="GR8" s="332"/>
      <c r="GS8" s="333" t="s">
        <v>97</v>
      </c>
      <c r="GT8" s="332"/>
      <c r="GU8" s="332"/>
      <c r="GV8" s="331" t="s">
        <v>127</v>
      </c>
      <c r="GW8" s="332"/>
      <c r="GX8" s="332"/>
      <c r="GY8" s="333" t="s">
        <v>128</v>
      </c>
      <c r="GZ8" s="332"/>
      <c r="HA8" s="332"/>
      <c r="HB8" s="332"/>
      <c r="HC8" s="58" t="s">
        <v>129</v>
      </c>
      <c r="HD8" s="57"/>
    </row>
    <row r="9" spans="1:212" s="132" customFormat="1" ht="48.75" customHeight="1" thickTop="1" thickBot="1">
      <c r="A9" s="59" t="s">
        <v>130</v>
      </c>
      <c r="B9" s="59" t="s">
        <v>131</v>
      </c>
      <c r="C9" s="60" t="str">
        <f ca="1">IFERROR(__xludf.DUMMYFUNCTION("IMPORTRANGE(""https://docs.google.com/spreadsheets/d/1Bb73NA76XIirMSTG8_HrQcu5qpbDOdat5DzCFaDRvv4/edit?gid=1186635627#gid=1186635627"",""SV26!c8:c11"")"),"CODIGO MD")</f>
        <v>CODIGO MD</v>
      </c>
      <c r="D9" s="60" t="str">
        <f ca="1">IFERROR(__xludf.DUMMYFUNCTION("IMPORTRANGE(""https://docs.google.com/spreadsheets/d/1Bb73NA76XIirMSTG8_HrQcu5qpbDOdat5DzCFaDRvv4/edit?gid=1186635627#gid=1186635627"",""SV26!d8:d11"")"),"CODIGO PT")</f>
        <v>CODIGO PT</v>
      </c>
      <c r="E9" s="60" t="str">
        <f ca="1">IFERROR(__xludf.DUMMYFUNCTION("IMPORTRANGE(""https://docs.google.com/spreadsheets/d/1Bb73NA76XIirMSTG8_HrQcu5qpbDOdat5DzCFaDRvv4/edit?gid=1186635627#gid=1186635627"",""SV26!E8:E11"")"),"NOMBRE REFERENCIA")</f>
        <v>NOMBRE REFERENCIA</v>
      </c>
      <c r="F9" s="59" t="str">
        <f ca="1">IFERROR(__xludf.DUMMYFUNCTION("IMPORTRANGE(""https://docs.google.com/spreadsheets/d/1Bb73NA76XIirMSTG8_HrQcu5qpbDOdat5DzCFaDRvv4/edit?gid=1186635627#gid=1186635627"",""SV26!f8:f11"")"),"COLOR")</f>
        <v>COLOR</v>
      </c>
      <c r="G9" s="59" t="str">
        <f ca="1">IFERROR(__xludf.DUMMYFUNCTION("IMPORTRANGE(""https://docs.google.com/spreadsheets/d/1Bb73NA76XIirMSTG8_HrQcu5qpbDOdat5DzCFaDRvv4/edit?gid=1186635627#gid=1186635627"",""SV26!g8:g11"")"),"COD COLOR")</f>
        <v>COD COLOR</v>
      </c>
      <c r="H9" s="61" t="s">
        <v>132</v>
      </c>
      <c r="I9" s="62" t="s">
        <v>133</v>
      </c>
      <c r="J9" s="63" t="s">
        <v>134</v>
      </c>
      <c r="K9" s="59" t="str">
        <f ca="1">IFERROR(__xludf.DUMMYFUNCTION("IMPORTRANGE(""https://docs.google.com/spreadsheets/d/1Bb73NA76XIirMSTG8_HrQcu5qpbDOdat5DzCFaDRvv4/edit?gid=1186635627#gid=1186635627"",""SV26!k8:k11"")"),"STATUS")</f>
        <v>STATUS</v>
      </c>
      <c r="L9" s="59" t="str">
        <f ca="1">IFERROR(__xludf.DUMMYFUNCTION("IMPORTRANGE(""https://docs.google.com/spreadsheets/d/1Bb73NA76XIirMSTG8_HrQcu5qpbDOdat5DzCFaDRvv4/edit?gid=1186635627#gid=1186635627"",""SV26!l8:l11"")"),"DISEÑADOR")</f>
        <v>DISEÑADOR</v>
      </c>
      <c r="M9" s="135" t="s">
        <v>135</v>
      </c>
      <c r="N9" s="135" t="s">
        <v>136</v>
      </c>
      <c r="O9" s="136" t="s">
        <v>137</v>
      </c>
      <c r="P9" s="59" t="str">
        <f ca="1">IFERROR(__xludf.DUMMYFUNCTION("IMPORTRANGE(""https://docs.google.com/spreadsheets/d/1Bb73NA76XIirMSTG8_HrQcu5qpbDOdat5DzCFaDRvv4/edit?gid=1186635627#gid=1186635627"",""SV26!p8:p11"")"),"LINEA")</f>
        <v>LINEA</v>
      </c>
      <c r="Q9" s="59" t="str">
        <f ca="1">IFERROR(__xludf.DUMMYFUNCTION("IMPORTRANGE(""https://docs.google.com/spreadsheets/d/1Bb73NA76XIirMSTG8_HrQcu5qpbDOdat5DzCFaDRvv4/edit?gid=1186635627#gid=1186635627"",""SV26!q8:q11"")"),"SUBLINEA")</f>
        <v>SUBLINEA</v>
      </c>
      <c r="R9" s="59" t="str">
        <f ca="1">IFERROR(__xludf.DUMMYFUNCTION("IMPORTRANGE(""https://docs.google.com/spreadsheets/d/1Bb73NA76XIirMSTG8_HrQcu5qpbDOdat5DzCFaDRvv4/edit?gid=1186635627#gid=1186635627"",""SV26!r8:r11"")"),"TIPO REF")</f>
        <v>TIPO REF</v>
      </c>
      <c r="S9" s="64" t="str">
        <f ca="1">IFERROR(__xludf.DUMMYFUNCTION("IMPORTRANGE(""https://docs.google.com/spreadsheets/d/1Bb73NA76XIirMSTG8_HrQcu5qpbDOdat5DzCFaDRvv4/edit?gid=1186635627#gid=1186635627"",""SV26!s8:s11"")")," TALLAJE ")</f>
        <v xml:space="preserve"> TALLAJE </v>
      </c>
      <c r="T9" s="59" t="str">
        <f ca="1">IFERROR(__xludf.DUMMYFUNCTION("IMPORTRANGE(""https://docs.google.com/spreadsheets/d/1Bb73NA76XIirMSTG8_HrQcu5qpbDOdat5DzCFaDRvv4/edit?gid=1186635627#gid=1186635627"",""SV26!t8:t11"")"),"LARGO")</f>
        <v>LARGO</v>
      </c>
      <c r="U9" s="59" t="str">
        <f ca="1">IFERROR(__xludf.DUMMYFUNCTION("IMPORTRANGE(""https://docs.google.com/spreadsheets/d/1Bb73NA76XIirMSTG8_HrQcu5qpbDOdat5DzCFaDRvv4/edit?gid=1186635627#gid=1186635627"",""SV26!u8:u11"")"),"CLOSURE")</f>
        <v>CLOSURE</v>
      </c>
      <c r="V9" s="59" t="str">
        <f ca="1">IFERROR(__xludf.DUMMYFUNCTION("IMPORTRANGE(""https://docs.google.com/spreadsheets/d/1Bb73NA76XIirMSTG8_HrQcu5qpbDOdat5DzCFaDRvv4/edit?gid=1186635627#gid=1186635627"",""SV26!t8:t11"")"),"LARGO")</f>
        <v>LARGO</v>
      </c>
      <c r="W9" s="59" t="str">
        <f ca="1">IFERROR(__xludf.DUMMYFUNCTION("IMPORTRANGE(""https://docs.google.com/spreadsheets/d/1Bb73NA76XIirMSTG8_HrQcu5qpbDOdat5DzCFaDRvv4/edit?gid=1186635627#gid=1186635627"",""SV26!w8:w11"")"),"INCLUDES")</f>
        <v>INCLUDES</v>
      </c>
      <c r="X9" s="59" t="str">
        <f ca="1">IFERROR(__xludf.DUMMYFUNCTION("IMPORTRANGE(""https://docs.google.com/spreadsheets/d/1Bb73NA76XIirMSTG8_HrQcu5qpbDOdat5DzCFaDRvv4/edit?gid=1186635627#gid=1186635627"",""SV26!x8:x11"")"),"INCLUDES DE PAQUETE COMPLETO EN PLANTA")</f>
        <v>INCLUDES DE PAQUETE COMPLETO EN PLANTA</v>
      </c>
      <c r="Y9" s="59" t="str">
        <f ca="1">IFERROR(__xludf.DUMMYFUNCTION("IMPORTRANGE(""https://docs.google.com/spreadsheets/d/1Bb73NA76XIirMSTG8_HrQcu5qpbDOdat5DzCFaDRvv4/edit?gid=1186635627#gid=1186635627"",""SV26!y8:y11"")"),"CODIGO TELA DE LUCIR PRINCIPAL EN MUESTRA")</f>
        <v>CODIGO TELA DE LUCIR PRINCIPAL EN MUESTRA</v>
      </c>
      <c r="Z9" s="65" t="s">
        <v>138</v>
      </c>
      <c r="AA9" s="59" t="str">
        <f ca="1">IFERROR(__xludf.DUMMYFUNCTION("IMPORTRANGE(""https://docs.google.com/spreadsheets/d/1Bb73NA76XIirMSTG8_HrQcu5qpbDOdat5DzCFaDRvv4/edit?gid=1186635627#gid=1186635627"",""SV26!aa8:aa11"")"),"DESCRIPCION TELA")</f>
        <v>DESCRIPCION TELA</v>
      </c>
      <c r="AB9" s="59" t="str">
        <f ca="1">IFERROR(__xludf.DUMMYFUNCTION("IMPORTRANGE(""https://docs.google.com/spreadsheets/d/1Bb73NA76XIirMSTG8_HrQcu5qpbDOdat5DzCFaDRvv4/edit?gid=1186635627#gid=1186635627"",""SV26!ab8:ab11"")"),"ANCHO TELA ")</f>
        <v xml:space="preserve">ANCHO TELA </v>
      </c>
      <c r="AC9" s="66" t="str">
        <f ca="1">IFERROR(__xludf.DUMMYFUNCTION("IMPORTRANGE(""https://docs.google.com/spreadsheets/d/1Bb73NA76XIirMSTG8_HrQcu5qpbDOdat5DzCFaDRvv4/edit?gid=1186635627#gid=1186635627"",""SV26!ac8:ac11"")"),"BASE TEXTIL")</f>
        <v>BASE TEXTIL</v>
      </c>
      <c r="AD9" s="67" t="str">
        <f ca="1">IFERROR(__xludf.DUMMYFUNCTION("IMPORTRANGE(""https://docs.google.com/spreadsheets/d/1Bb73NA76XIirMSTG8_HrQcu5qpbDOdat5DzCFaDRvv4/edit?gid=1186635627#gid=1186635627"",""SV26!ad8:ad11"")"),"UBICACION EN TRAZO")</f>
        <v>UBICACION EN TRAZO</v>
      </c>
      <c r="AE9" s="65" t="str">
        <f ca="1">IFERROR(__xludf.DUMMYFUNCTION("IMPORTRANGE(""https://docs.google.com/spreadsheets/d/1Bb73NA76XIirMSTG8_HrQcu5qpbDOdat5DzCFaDRvv4/edit?gid=1186635627#gid=1186635627"",""SV26!ae8:ae11"")"),"MOD. DE ARTE")</f>
        <v>MOD. DE ARTE</v>
      </c>
      <c r="AF9" s="68" t="str">
        <f ca="1">IFERROR(__xludf.DUMMYFUNCTION("IMPORTRANGE(""https://docs.google.com/spreadsheets/d/1Bb73NA76XIirMSTG8_HrQcu5qpbDOdat5DzCFaDRvv4/edit?gid=1186635627#gid=1186635627"",""SV26!af8:af11"")"),"ALL OVER")</f>
        <v>ALL OVER</v>
      </c>
      <c r="AG9" s="65" t="str">
        <f ca="1">IFERROR(__xludf.DUMMYFUNCTION("IMPORTRANGE(""https://docs.google.com/spreadsheets/d/1Bb73NA76XIirMSTG8_HrQcu5qpbDOdat5DzCFaDRvv4/edit?gid=1186635627#gid=1186635627"",""SV26!aG8:aG11"")"),"VARIACION DE COLOR")</f>
        <v>VARIACION DE COLOR</v>
      </c>
      <c r="AH9" s="68" t="str">
        <f ca="1">IFERROR(__xludf.DUMMYFUNCTION("IMPORTRANGE(""https://docs.google.com/spreadsheets/d/1Bb73NA76XIirMSTG8_HrQcu5qpbDOdat5DzCFaDRvv4/edit?gid=1186635627#gid=1186635627"",""SV26!aH8:aH11"")"),"REF")</f>
        <v>REF</v>
      </c>
      <c r="AI9" s="68" t="str">
        <f ca="1">IFERROR(__xludf.DUMMYFUNCTION("IMPORTRANGE(""https://docs.google.com/spreadsheets/d/1Bb73NA76XIirMSTG8_HrQcu5qpbDOdat5DzCFaDRvv4/edit?gid=1186635627#gid=1186635627"",""SV26!aI8:aI11"")"),"TIPO DE EMPAQUE")</f>
        <v>TIPO DE EMPAQUE</v>
      </c>
      <c r="AJ9" s="67" t="str">
        <f ca="1">IFERROR(__xludf.DUMMYFUNCTION("IMPORTRANGE(""https://docs.google.com/spreadsheets/d/1Bb73NA76XIirMSTG8_HrQcu5qpbDOdat5DzCFaDRvv4/edit?gid=1186635627#gid=1186635627"",""SV26!aJ8:aJ11"")"),"APLICA O NO APLICA")</f>
        <v>APLICA O NO APLICA</v>
      </c>
      <c r="AK9" s="68" t="str">
        <f ca="1">IFERROR(__xludf.DUMMYFUNCTION("IMPORTRANGE(""https://docs.google.com/spreadsheets/d/1Bb73NA76XIirMSTG8_HrQcu5qpbDOdat5DzCFaDRvv4/edit?gid=1186635627#gid=1186635627"",""SV26!aK8:aK11"")"),"DESCRIPCION")</f>
        <v>DESCRIPCION</v>
      </c>
      <c r="AL9" s="67" t="str">
        <f ca="1">IFERROR(__xludf.DUMMYFUNCTION("IMPORTRANGE(""https://docs.google.com/spreadsheets/d/1Bb73NA76XIirMSTG8_HrQcu5qpbDOdat5DzCFaDRvv4/edit?gid=1186635627#gid=1186635627"",""SV26!aL8:aL11"")"),"APLICA O NO APLICA")</f>
        <v>APLICA O NO APLICA</v>
      </c>
      <c r="AM9" s="68" t="str">
        <f ca="1">IFERROR(__xludf.DUMMYFUNCTION("IMPORTRANGE(""https://docs.google.com/spreadsheets/d/1Bb73NA76XIirMSTG8_HrQcu5qpbDOdat5DzCFaDRvv4/edit?gid=1186635627#gid=1186635627"",""SV26!aM8:aM11"")"),"DESCRIPCION")</f>
        <v>DESCRIPCION</v>
      </c>
      <c r="AN9" s="67" t="str">
        <f ca="1">IFERROR(__xludf.DUMMYFUNCTION("IMPORTRANGE(""https://docs.google.com/spreadsheets/d/1Bb73NA76XIirMSTG8_HrQcu5qpbDOdat5DzCFaDRvv4/edit?gid=1186635627#gid=1186635627"",""SV26!aN8:aN11"")"),"PROVEEDOR")</f>
        <v>PROVEEDOR</v>
      </c>
      <c r="AO9" s="65" t="str">
        <f ca="1">IFERROR(__xludf.DUMMYFUNCTION("IMPORTRANGE(""https://docs.google.com/spreadsheets/d/1Bb73NA76XIirMSTG8_HrQcu5qpbDOdat5DzCFaDRvv4/edit?gid=1186635627#gid=1186635627"",""SV26!aO8:aO11"")"),"PROCESO EXTERNO")</f>
        <v>PROCESO EXTERNO</v>
      </c>
      <c r="AP9" s="68" t="str">
        <f ca="1">IFERROR(__xludf.DUMMYFUNCTION("IMPORTRANGE(""https://docs.google.com/spreadsheets/d/1Bb73NA76XIirMSTG8_HrQcu5qpbDOdat5DzCFaDRvv4/edit?gid=1186635627#gid=1186635627"",""SV26!aP8:aP11"")"),"COSTO")</f>
        <v>COSTO</v>
      </c>
      <c r="AQ9" s="69" t="str">
        <f ca="1">IFERROR(__xludf.DUMMYFUNCTION("IMPORTRANGE(""https://docs.google.com/spreadsheets/d/1Bb73NA76XIirMSTG8_HrQcu5qpbDOdat5DzCFaDRvv4/edit?gid=1186635627#gid=1186635627"",""SV26!aT8:aT11"")"),"BORDADO STATUS")</f>
        <v>BORDADO STATUS</v>
      </c>
      <c r="AR9" s="69" t="str">
        <f ca="1">IFERROR(__xludf.DUMMYFUNCTION("IMPORTRANGE(""https://docs.google.com/spreadsheets/d/1Bb73NA76XIirMSTG8_HrQcu5qpbDOdat5DzCFaDRvv4/edit?gid=1186635627#gid=1186635627"",""SV26!aU8:aU200"")"),"TERMINADO EN TALLER PARA COSTEO TELAS")</f>
        <v>TERMINADO EN TALLER PARA COSTEO TELAS</v>
      </c>
      <c r="AS9" s="70" t="s">
        <v>36</v>
      </c>
      <c r="AT9" s="70" t="s">
        <v>37</v>
      </c>
      <c r="AU9" s="70" t="s">
        <v>38</v>
      </c>
      <c r="AV9" s="70" t="s">
        <v>139</v>
      </c>
      <c r="AW9" s="71" t="str">
        <f ca="1">IFERROR(__xludf.DUMMYFUNCTION("IMPORTRANGE(""https://docs.google.com/spreadsheets/d/1Bb73NA76XIirMSTG8_HrQcu5qpbDOdat5DzCFaDRvv4/edit?gid=1186635627#gid=1186635627"",""SV26!AS8:AS200"")"),"COMENTARIOS")</f>
        <v>COMENTARIOS</v>
      </c>
      <c r="AX9" s="71" t="str">
        <f ca="1">IFERROR(__xludf.DUMMYFUNCTION("IMPORTRANGE(""https://docs.google.com/spreadsheets/d/1Bb73NA76XIirMSTG8_HrQcu5qpbDOdat5DzCFaDRvv4/edit?gid=1186635627#gid=1186635627"",""SV26!AT8:AT11"")"),"BORDADO STATUS")</f>
        <v>BORDADO STATUS</v>
      </c>
      <c r="AY9" s="72" t="str">
        <f ca="1">IFERROR(__xludf.DUMMYFUNCTION("IMPORTRANGE(""https://docs.google.com/spreadsheets/d/1Bb73NA76XIirMSTG8_HrQcu5qpbDOdat5DzCFaDRvv4/edit?gid=1186635627#gid=1186635627"",""SV26!AU8:AU200"")"),"TERMINADO EN TALLER PARA COSTEO TELAS")</f>
        <v>TERMINADO EN TALLER PARA COSTEO TELAS</v>
      </c>
      <c r="AZ9" s="72" t="str">
        <f ca="1">IFERROR(__xludf.DUMMYFUNCTION("IMPORTRANGE(""https://docs.google.com/spreadsheets/d/1Bb73NA76XIirMSTG8_HrQcu5qpbDOdat5DzCFaDRvv4/edit?gid=1186635627#gid=1186635627"",""SV26!AV8:AV11"")"),"PROCESO EXTERNO")</f>
        <v>PROCESO EXTERNO</v>
      </c>
      <c r="BA9" s="72" t="str">
        <f ca="1">IFERROR(__xludf.DUMMYFUNCTION("IMPORTRANGE(""https://docs.google.com/spreadsheets/d/1Bb73NA76XIirMSTG8_HrQcu5qpbDOdat5DzCFaDRvv4/edit?gid=1186635627#gid=1186635627"",""SV26!AW8:AW11"")"),"COSTO")</f>
        <v>COSTO</v>
      </c>
      <c r="BB9" s="72" t="str">
        <f ca="1">IFERROR(__xludf.DUMMYFUNCTION("IMPORTRANGE(""https://docs.google.com/spreadsheets/d/1Bb73NA76XIirMSTG8_HrQcu5qpbDOdat5DzCFaDRvv4/edit?gid=1186635627#gid=1186635627"",""SV26!AX8:AX11"")"),"BORDADO STATUS")</f>
        <v>BORDADO STATUS</v>
      </c>
      <c r="BC9" s="72" t="str">
        <f ca="1">IFERROR(__xludf.DUMMYFUNCTION("IMPORTRANGE(""https://docs.google.com/spreadsheets/d/1Bb73NA76XIirMSTG8_HrQcu5qpbDOdat5DzCFaDRvv4/edit?gid=1186635627#gid=1186635627"",""SV26!AY8:AY200"")"),"TERMINADO EN TALLER PARA COSTEO TELAS")</f>
        <v>TERMINADO EN TALLER PARA COSTEO TELAS</v>
      </c>
      <c r="BD9" s="72" t="str">
        <f ca="1">IFERROR(__xludf.DUMMYFUNCTION("IMPORTRANGE(""https://docs.google.com/spreadsheets/d/1Bb73NA76XIirMSTG8_HrQcu5qpbDOdat5DzCFaDRvv4/edit?gid=1186635627#gid=1186635627"",""SV26!AZ8:AZ11"")"),"ENTREGA PARCIAL 
30 OCT (12 PM)")</f>
        <v>ENTREGA PARCIAL 
30 OCT (12 PM)</v>
      </c>
      <c r="BE9" s="73" t="s">
        <v>140</v>
      </c>
      <c r="BF9" s="74" t="s">
        <v>141</v>
      </c>
      <c r="BG9" s="73" t="s">
        <v>142</v>
      </c>
      <c r="BH9" s="73" t="s">
        <v>143</v>
      </c>
      <c r="BI9" s="73" t="s">
        <v>144</v>
      </c>
      <c r="BJ9" s="73" t="s">
        <v>145</v>
      </c>
      <c r="BK9" s="73" t="s">
        <v>146</v>
      </c>
      <c r="BL9" s="73" t="s">
        <v>147</v>
      </c>
      <c r="BM9" s="73" t="s">
        <v>148</v>
      </c>
      <c r="BN9" s="73" t="s">
        <v>149</v>
      </c>
      <c r="BO9" s="73" t="s">
        <v>150</v>
      </c>
      <c r="BP9" s="73" t="s">
        <v>151</v>
      </c>
      <c r="BQ9" s="73" t="s">
        <v>152</v>
      </c>
      <c r="BR9" s="73" t="s">
        <v>153</v>
      </c>
      <c r="BS9" s="73" t="s">
        <v>154</v>
      </c>
      <c r="BT9" s="75" t="s">
        <v>155</v>
      </c>
      <c r="BU9" s="76" t="s">
        <v>156</v>
      </c>
      <c r="BV9" s="76" t="s">
        <v>157</v>
      </c>
      <c r="BW9" s="76" t="s">
        <v>158</v>
      </c>
      <c r="BX9" s="76" t="s">
        <v>159</v>
      </c>
      <c r="BY9" s="77" t="s">
        <v>160</v>
      </c>
      <c r="BZ9" s="78" t="s">
        <v>161</v>
      </c>
      <c r="CA9" s="79" t="s">
        <v>162</v>
      </c>
      <c r="CB9" s="79" t="s">
        <v>163</v>
      </c>
      <c r="CC9" s="79" t="s">
        <v>164</v>
      </c>
      <c r="CD9" s="364" t="s">
        <v>165</v>
      </c>
      <c r="CE9" s="79" t="s">
        <v>166</v>
      </c>
      <c r="CF9" s="80" t="s">
        <v>167</v>
      </c>
      <c r="CG9" s="81" t="s">
        <v>161</v>
      </c>
      <c r="CH9" s="82" t="s">
        <v>162</v>
      </c>
      <c r="CI9" s="82" t="s">
        <v>163</v>
      </c>
      <c r="CJ9" s="82" t="s">
        <v>164</v>
      </c>
      <c r="CK9" s="82" t="s">
        <v>165</v>
      </c>
      <c r="CL9" s="82" t="s">
        <v>166</v>
      </c>
      <c r="CM9" s="83" t="s">
        <v>167</v>
      </c>
      <c r="CN9" s="84" t="s">
        <v>103</v>
      </c>
      <c r="CO9" s="85" t="s">
        <v>168</v>
      </c>
      <c r="CP9" s="86" t="s">
        <v>169</v>
      </c>
      <c r="CQ9" s="86" t="s">
        <v>170</v>
      </c>
      <c r="CR9" s="86" t="s">
        <v>171</v>
      </c>
      <c r="CS9" s="86" t="s">
        <v>172</v>
      </c>
      <c r="CT9" s="86" t="s">
        <v>173</v>
      </c>
      <c r="CU9" s="86" t="s">
        <v>174</v>
      </c>
      <c r="CV9" s="86" t="s">
        <v>175</v>
      </c>
      <c r="CW9" s="86" t="s">
        <v>176</v>
      </c>
      <c r="CX9" s="87" t="s">
        <v>177</v>
      </c>
      <c r="CY9" s="88">
        <f ca="1">IFERROR(__xludf.DUMMYFUNCTION("IMPORTRANGE(""https://docs.google.com/spreadsheets/d/1Bb73NA76XIirMSTG8_HrQcu5qpbDOdat5DzCFaDRvv4/edit?gid=1186635627#gid=1186635627"",""SV26!DL8:DL11"")"),0)</f>
        <v>0</v>
      </c>
      <c r="CZ9" s="88">
        <f ca="1">IFERROR(__xludf.DUMMYFUNCTION("IMPORTRANGE(""https://docs.google.com/spreadsheets/d/1Bb73NA76XIirMSTG8_HrQcu5qpbDOdat5DzCFaDRvv4/edit?gid=1186635627#gid=1186635627"",""SV26!DM8:DM11"")"),2)</f>
        <v>2</v>
      </c>
      <c r="DA9" s="88">
        <f ca="1">IFERROR(__xludf.DUMMYFUNCTION("IMPORTRANGE(""https://docs.google.com/spreadsheets/d/1Bb73NA76XIirMSTG8_HrQcu5qpbDOdat5DzCFaDRvv4/edit?gid=1186635627#gid=1186635627"",""SV26!DN8:DN11"")"),4)</f>
        <v>4</v>
      </c>
      <c r="DB9" s="88">
        <f ca="1">IFERROR(__xludf.DUMMYFUNCTION("IMPORTRANGE(""https://docs.google.com/spreadsheets/d/1Bb73NA76XIirMSTG8_HrQcu5qpbDOdat5DzCFaDRvv4/edit?gid=1186635627#gid=1186635627"",""SV26!DO8:DO11"")"),6)</f>
        <v>6</v>
      </c>
      <c r="DC9" s="88">
        <f ca="1">IFERROR(__xludf.DUMMYFUNCTION("IMPORTRANGE(""https://docs.google.com/spreadsheets/d/1Bb73NA76XIirMSTG8_HrQcu5qpbDOdat5DzCFaDRvv4/edit?gid=1186635627#gid=1186635627"",""SV26!DP8:DP11"")"),8)</f>
        <v>8</v>
      </c>
      <c r="DD9" s="88">
        <f ca="1">IFERROR(__xludf.DUMMYFUNCTION("IMPORTRANGE(""https://docs.google.com/spreadsheets/d/1Bb73NA76XIirMSTG8_HrQcu5qpbDOdat5DzCFaDRvv4/edit?gid=1186635627#gid=1186635627"",""SV26!DQ8:DQ11"")"),10)</f>
        <v>10</v>
      </c>
      <c r="DE9" s="88">
        <f ca="1">IFERROR(__xludf.DUMMYFUNCTION("IMPORTRANGE(""https://docs.google.com/spreadsheets/d/1Bb73NA76XIirMSTG8_HrQcu5qpbDOdat5DzCFaDRvv4/edit?gid=1186635627#gid=1186635627"",""SV26!DR8:DR11"")"),12)</f>
        <v>12</v>
      </c>
      <c r="DF9" s="88" t="str">
        <f ca="1">IFERROR(__xludf.DUMMYFUNCTION("IMPORTRANGE(""https://docs.google.com/spreadsheets/d/1Bb73NA76XIirMSTG8_HrQcu5qpbDOdat5DzCFaDRvv4/edit?gid=1186635627#gid=1186635627"",""SV26!DS8:DS11"")"),"XS")</f>
        <v>XS</v>
      </c>
      <c r="DG9" s="88" t="str">
        <f ca="1">IFERROR(__xludf.DUMMYFUNCTION("IMPORTRANGE(""https://docs.google.com/spreadsheets/d/1Bb73NA76XIirMSTG8_HrQcu5qpbDOdat5DzCFaDRvv4/edit?gid=1186635627#gid=1186635627"",""SV26!DT8:DT11"")"),"S")</f>
        <v>S</v>
      </c>
      <c r="DH9" s="88" t="str">
        <f ca="1">IFERROR(__xludf.DUMMYFUNCTION("IMPORTRANGE(""https://docs.google.com/spreadsheets/d/1Bb73NA76XIirMSTG8_HrQcu5qpbDOdat5DzCFaDRvv4/edit?gid=1186635627#gid=1186635627"",""SV26!DU8:DU11"")"),"M")</f>
        <v>M</v>
      </c>
      <c r="DI9" s="88" t="str">
        <f ca="1">IFERROR(__xludf.DUMMYFUNCTION("IMPORTRANGE(""https://docs.google.com/spreadsheets/d/1Bb73NA76XIirMSTG8_HrQcu5qpbDOdat5DzCFaDRvv4/edit?gid=1186635627#gid=1186635627"",""SV26!DV8:DV11"")"),"L")</f>
        <v>L</v>
      </c>
      <c r="DJ9" s="88" t="str">
        <f ca="1">IFERROR(__xludf.DUMMYFUNCTION("IMPORTRANGE(""https://docs.google.com/spreadsheets/d/1Bb73NA76XIirMSTG8_HrQcu5qpbDOdat5DzCFaDRvv4/edit?gid=1186635627#gid=1186635627"",""SV26!DW8:DW11"")"),"XL")</f>
        <v>XL</v>
      </c>
      <c r="DK9" s="88" t="str">
        <f ca="1">IFERROR(__xludf.DUMMYFUNCTION("IMPORTRANGE(""https://docs.google.com/spreadsheets/d/1Bb73NA76XIirMSTG8_HrQcu5qpbDOdat5DzCFaDRvv4/edit?gid=1186635627#gid=1186635627"",""SV26!DX8:DX11"")"),"TOTAL")</f>
        <v>TOTAL</v>
      </c>
      <c r="DL9" s="89" t="s">
        <v>178</v>
      </c>
      <c r="DM9" s="89" t="s">
        <v>179</v>
      </c>
      <c r="DN9" s="90" t="s">
        <v>180</v>
      </c>
      <c r="DO9" s="91" t="s">
        <v>181</v>
      </c>
      <c r="DP9" s="92" t="s">
        <v>182</v>
      </c>
      <c r="DQ9" s="93" t="s">
        <v>183</v>
      </c>
      <c r="DR9" s="94"/>
      <c r="DS9" s="95" t="s">
        <v>184</v>
      </c>
      <c r="DT9" s="96" t="s">
        <v>185</v>
      </c>
      <c r="DU9" s="96" t="s">
        <v>186</v>
      </c>
      <c r="DV9" s="97" t="s">
        <v>187</v>
      </c>
      <c r="DW9" s="98" t="s">
        <v>188</v>
      </c>
      <c r="DX9" s="99" t="s">
        <v>189</v>
      </c>
      <c r="DY9" s="99" t="s">
        <v>190</v>
      </c>
      <c r="DZ9" s="99" t="s">
        <v>191</v>
      </c>
      <c r="EA9" s="99" t="s">
        <v>192</v>
      </c>
      <c r="EB9" s="99" t="s">
        <v>193</v>
      </c>
      <c r="EC9" s="100" t="s">
        <v>194</v>
      </c>
      <c r="ED9" s="100" t="s">
        <v>195</v>
      </c>
      <c r="EE9" s="101" t="s">
        <v>196</v>
      </c>
      <c r="EF9" s="102" t="s">
        <v>195</v>
      </c>
      <c r="EG9" s="103" t="s">
        <v>197</v>
      </c>
      <c r="EH9" s="100" t="s">
        <v>195</v>
      </c>
      <c r="EI9" s="101" t="s">
        <v>198</v>
      </c>
      <c r="EJ9" s="102" t="s">
        <v>195</v>
      </c>
      <c r="EK9" s="104" t="s">
        <v>199</v>
      </c>
      <c r="EL9" s="105" t="s">
        <v>200</v>
      </c>
      <c r="EM9" s="106" t="s">
        <v>201</v>
      </c>
      <c r="EN9" s="107" t="s">
        <v>136</v>
      </c>
      <c r="EO9" s="108" t="s">
        <v>202</v>
      </c>
      <c r="EP9" s="108" t="s">
        <v>203</v>
      </c>
      <c r="EQ9" s="109" t="s">
        <v>204</v>
      </c>
      <c r="ER9" s="108" t="s">
        <v>205</v>
      </c>
      <c r="ES9" s="110" t="s">
        <v>206</v>
      </c>
      <c r="ET9" s="110" t="s">
        <v>207</v>
      </c>
      <c r="EU9" s="111" t="s">
        <v>208</v>
      </c>
      <c r="EV9" s="110" t="s">
        <v>309</v>
      </c>
      <c r="EW9" s="110" t="s">
        <v>310</v>
      </c>
      <c r="EX9" s="110" t="s">
        <v>311</v>
      </c>
      <c r="EY9" s="112" t="s">
        <v>209</v>
      </c>
      <c r="EZ9" s="113" t="s">
        <v>210</v>
      </c>
      <c r="FA9" s="112" t="s">
        <v>211</v>
      </c>
      <c r="FB9" s="112" t="s">
        <v>212</v>
      </c>
      <c r="FC9" s="113" t="s">
        <v>213</v>
      </c>
      <c r="FD9" s="113" t="s">
        <v>212</v>
      </c>
      <c r="FE9" s="112" t="s">
        <v>214</v>
      </c>
      <c r="FF9" s="112" t="s">
        <v>215</v>
      </c>
      <c r="FG9" s="113" t="s">
        <v>216</v>
      </c>
      <c r="FH9" s="113" t="s">
        <v>217</v>
      </c>
      <c r="FI9" s="114" t="s">
        <v>218</v>
      </c>
      <c r="FJ9" s="97" t="s">
        <v>219</v>
      </c>
      <c r="FK9" s="99" t="s">
        <v>220</v>
      </c>
      <c r="FL9" s="115" t="s">
        <v>221</v>
      </c>
      <c r="FM9" s="116" t="s">
        <v>222</v>
      </c>
      <c r="FN9" s="117" t="s">
        <v>223</v>
      </c>
      <c r="FO9" s="117" t="s">
        <v>224</v>
      </c>
      <c r="FP9" s="117" t="s">
        <v>225</v>
      </c>
      <c r="FQ9" s="117" t="s">
        <v>226</v>
      </c>
      <c r="FR9" s="117" t="s">
        <v>227</v>
      </c>
      <c r="FS9" s="118" t="s">
        <v>228</v>
      </c>
      <c r="FT9" s="119" t="s">
        <v>229</v>
      </c>
      <c r="FU9" s="120" t="s">
        <v>230</v>
      </c>
      <c r="FV9" s="121" t="s">
        <v>82</v>
      </c>
      <c r="FW9" s="122"/>
      <c r="FX9" s="123" t="s">
        <v>231</v>
      </c>
      <c r="FY9" s="124" t="s">
        <v>232</v>
      </c>
      <c r="FZ9" s="125" t="s">
        <v>218</v>
      </c>
      <c r="GA9" s="126" t="s">
        <v>233</v>
      </c>
      <c r="GB9" s="126" t="s">
        <v>234</v>
      </c>
      <c r="GC9" s="126" t="s">
        <v>235</v>
      </c>
      <c r="GD9" s="126" t="s">
        <v>236</v>
      </c>
      <c r="GE9" s="127" t="s">
        <v>237</v>
      </c>
      <c r="GF9" s="126" t="s">
        <v>238</v>
      </c>
      <c r="GG9" s="126" t="s">
        <v>239</v>
      </c>
      <c r="GH9" s="126" t="s">
        <v>240</v>
      </c>
      <c r="GI9" s="126" t="s">
        <v>241</v>
      </c>
      <c r="GJ9" s="128" t="s">
        <v>242</v>
      </c>
      <c r="GK9" s="129" t="s">
        <v>243</v>
      </c>
      <c r="GL9" s="130" t="s">
        <v>244</v>
      </c>
      <c r="GM9" s="130" t="s">
        <v>245</v>
      </c>
      <c r="GN9" s="130" t="s">
        <v>246</v>
      </c>
      <c r="GO9" s="130" t="s">
        <v>167</v>
      </c>
      <c r="GP9" s="131" t="s">
        <v>245</v>
      </c>
      <c r="GQ9" s="131" t="s">
        <v>247</v>
      </c>
      <c r="GR9" s="131" t="s">
        <v>167</v>
      </c>
      <c r="GS9" s="130" t="s">
        <v>245</v>
      </c>
      <c r="GT9" s="130" t="s">
        <v>247</v>
      </c>
      <c r="GU9" s="130" t="s">
        <v>248</v>
      </c>
      <c r="GV9" s="131" t="s">
        <v>245</v>
      </c>
      <c r="GW9" s="131" t="s">
        <v>247</v>
      </c>
      <c r="GX9" s="131" t="s">
        <v>248</v>
      </c>
      <c r="GY9" s="130" t="s">
        <v>245</v>
      </c>
      <c r="GZ9" s="130" t="s">
        <v>247</v>
      </c>
      <c r="HA9" s="130" t="s">
        <v>249</v>
      </c>
      <c r="HB9" s="130" t="s">
        <v>167</v>
      </c>
      <c r="HC9" s="131" t="s">
        <v>250</v>
      </c>
      <c r="HD9" s="131" t="s">
        <v>251</v>
      </c>
    </row>
    <row r="10" spans="1:212" s="133" customFormat="1" ht="61.5" customHeight="1" thickTop="1" thickBot="1">
      <c r="A10" s="158">
        <v>1</v>
      </c>
      <c r="B10" s="159"/>
      <c r="C10" s="160" t="str">
        <f ca="1">IFERROR(__xludf.DUMMYFUNCTION("""COMPUTED_VALUE"""),"MD03573")</f>
        <v>MD03573</v>
      </c>
      <c r="D10" s="161" t="str">
        <f ca="1">IFERROR(__xludf.DUMMYFUNCTION("""COMPUTED_VALUE"""),"PT03897")</f>
        <v>PT03897</v>
      </c>
      <c r="E10" s="162" t="str">
        <f ca="1">IFERROR(__xludf.DUMMYFUNCTION("""COMPUTED_VALUE"""),"DESERT HEART ANKLE DRESS")</f>
        <v>DESERT HEART ANKLE DRESS</v>
      </c>
      <c r="F10" s="161" t="str">
        <f ca="1">IFERROR(__xludf.DUMMYFUNCTION("""COMPUTED_VALUE"""),"GREEN / ROSE")</f>
        <v>GREEN / ROSE</v>
      </c>
      <c r="G10" s="163" t="str">
        <f ca="1">IFERROR(__xludf.DUMMYFUNCTION("""COMPUTED_VALUE"""),"5817")</f>
        <v>5817</v>
      </c>
      <c r="H10" s="159" t="s">
        <v>308</v>
      </c>
      <c r="I10" s="160" t="s">
        <v>308</v>
      </c>
      <c r="J10" s="160" t="s">
        <v>252</v>
      </c>
      <c r="K10" s="164" t="str">
        <f ca="1">IFERROR(__xludf.DUMMYFUNCTION("""COMPUTED_VALUE"""),"APROBADO")</f>
        <v>APROBADO</v>
      </c>
      <c r="L10" s="160" t="str">
        <f ca="1">IFERROR(__xludf.DUMMYFUNCTION("""COMPUTED_VALUE"""),"CLAUDIA")</f>
        <v>CLAUDIA</v>
      </c>
      <c r="M10" s="165" t="s">
        <v>253</v>
      </c>
      <c r="N10" s="165" t="s">
        <v>254</v>
      </c>
      <c r="O10" s="166" t="s">
        <v>255</v>
      </c>
      <c r="P10" s="167" t="str">
        <f ca="1">IFERROR(__xludf.DUMMYFUNCTION("""COMPUTED_VALUE"""),"DRESSES")</f>
        <v>DRESSES</v>
      </c>
      <c r="Q10" s="161" t="str">
        <f ca="1">IFERROR(__xludf.DUMMYFUNCTION("""COMPUTED_VALUE"""),"ANKLE")</f>
        <v>ANKLE</v>
      </c>
      <c r="R10" s="161" t="str">
        <f ca="1">IFERROR(__xludf.DUMMYFUNCTION("""COMPUTED_VALUE"""),"DS")</f>
        <v>DS</v>
      </c>
      <c r="S10" s="168" t="str">
        <f ca="1">IFERROR(__xludf.DUMMYFUNCTION("""COMPUTED_VALUE""")," 0-2-4-6-8-10-12 ")</f>
        <v xml:space="preserve"> 0-2-4-6-8-10-12 </v>
      </c>
      <c r="T10" s="160" t="str">
        <f ca="1">IFERROR(__xludf.DUMMYFUNCTION("""COMPUTED_VALUE"""),"ANKLE 95CM")</f>
        <v>ANKLE 95CM</v>
      </c>
      <c r="U10" s="160" t="str">
        <f ca="1">IFERROR(__xludf.DUMMYFUNCTION("""COMPUTED_VALUE"""),"SLIP ON")</f>
        <v>SLIP ON</v>
      </c>
      <c r="V10" s="166" t="str">
        <f ca="1">IFERROR(__xludf.DUMMYFUNCTION("""COMPUTED_VALUE"""),"ANKLE 95CM")</f>
        <v>ANKLE 95CM</v>
      </c>
      <c r="W10" s="164" t="str">
        <f ca="1">IFERROR(__xludf.DUMMYFUNCTION("""COMPUTED_VALUE"""),"N/A")</f>
        <v>N/A</v>
      </c>
      <c r="X10" s="169" t="str">
        <f ca="1">IFERROR(__xludf.DUMMYFUNCTION("""COMPUTED_VALUE"""),"N/A")</f>
        <v>N/A</v>
      </c>
      <c r="Y10" s="160" t="str">
        <f ca="1">IFERROR(__xludf.DUMMYFUNCTION("""COMPUTED_VALUE"""),"TE00011933")</f>
        <v>TE00011933</v>
      </c>
      <c r="Z10" s="159" t="s">
        <v>308</v>
      </c>
      <c r="AA10" s="160" t="str">
        <f ca="1">IFERROR(__xludf.DUMMYFUNCTION("""COMPUTED_VALUE"""),"PRINTED LINEN,ART.101021/J-FASAC-SV26 VINTAGE BLOCKPRINTALLOVER MIL.GREEN/NUDE/PINK/TANGERINE 50CM")</f>
        <v>PRINTED LINEN,ART.101021/J-FASAC-SV26 VINTAGE BLOCKPRINTALLOVER MIL.GREEN/NUDE/PINK/TANGERINE 50CM</v>
      </c>
      <c r="AB10" s="160" t="str">
        <f ca="1">IFERROR(__xludf.DUMMYFUNCTION("""COMPUTED_VALUE"""),"1.34")</f>
        <v>1.34</v>
      </c>
      <c r="AC10" s="170" t="str">
        <f ca="1">IFERROR(__xludf.DUMMYFUNCTION("""COMPUTED_VALUE"""),"LINEN")</f>
        <v>LINEN</v>
      </c>
      <c r="AD10" s="164" t="str">
        <f ca="1">IFERROR(__xludf.DUMMYFUNCTION("""COMPUTED_VALUE"""),"N/A")</f>
        <v>N/A</v>
      </c>
      <c r="AE10" s="160" t="str">
        <f ca="1">IFERROR(__xludf.DUMMYFUNCTION("""COMPUTED_VALUE"""),"SI")</f>
        <v>SI</v>
      </c>
      <c r="AF10" s="166" t="str">
        <f ca="1">IFERROR(__xludf.DUMMYFUNCTION("""COMPUTED_VALUE"""),"N/A")</f>
        <v>N/A</v>
      </c>
      <c r="AG10" s="171" t="str">
        <f ca="1">IFERROR(__xludf.DUMMYFUNCTION("""COMPUTED_VALUE"""),"N/A")</f>
        <v>N/A</v>
      </c>
      <c r="AH10" s="172" t="str">
        <f ca="1">IFERROR(__xludf.DUMMYFUNCTION("""COMPUTED_VALUE"""),"N/A")</f>
        <v>N/A</v>
      </c>
      <c r="AI10" s="173" t="str">
        <f ca="1">IFERROR(__xludf.DUMMYFUNCTION("""COMPUTED_VALUE"""),"N/A")</f>
        <v>N/A</v>
      </c>
      <c r="AJ10" s="260" t="str">
        <f ca="1">IFERROR(__xludf.DUMMYFUNCTION("""COMPUTED_VALUE"""),"N/A")</f>
        <v>N/A</v>
      </c>
      <c r="AK10" s="261" t="str">
        <f ca="1">IFERROR(__xludf.DUMMYFUNCTION("""COMPUTED_VALUE"""),"N/A")</f>
        <v>N/A</v>
      </c>
      <c r="AL10" s="262" t="s">
        <v>466</v>
      </c>
      <c r="AM10" s="263" t="s">
        <v>467</v>
      </c>
      <c r="AN10" s="264" t="str">
        <f ca="1">IFERROR(__xludf.DUMMYFUNCTION("""COMPUTED_VALUE"""),"N/A")</f>
        <v>N/A</v>
      </c>
      <c r="AO10" s="265" t="str">
        <f ca="1">IFERROR(__xludf.DUMMYFUNCTION("""COMPUTED_VALUE"""),"N/A")</f>
        <v>N/A</v>
      </c>
      <c r="AP10" s="266" t="str">
        <f ca="1">IFERROR(__xludf.DUMMYFUNCTION("""COMPUTED_VALUE"""),"N/A")</f>
        <v>N/A</v>
      </c>
      <c r="AQ10" s="174" t="str">
        <f ca="1">IFERROR(__xludf.DUMMYFUNCTION("""COMPUTED_VALUE"""),"#N/A")</f>
        <v>#N/A</v>
      </c>
      <c r="AR10" s="175"/>
      <c r="AS10" s="174" t="s">
        <v>256</v>
      </c>
      <c r="AT10" s="174" t="s">
        <v>256</v>
      </c>
      <c r="AU10" s="175"/>
      <c r="AV10" s="174" t="s">
        <v>256</v>
      </c>
      <c r="AW10" s="176"/>
      <c r="AX10" s="174" t="str">
        <f ca="1">IFERROR(__xludf.DUMMYFUNCTION("""COMPUTED_VALUE"""),"#N/A")</f>
        <v>#N/A</v>
      </c>
      <c r="AY10" s="177"/>
      <c r="AZ10" s="178" t="str">
        <f ca="1">IFERROR(__xludf.DUMMYFUNCTION("""COMPUTED_VALUE"""),"N/A")</f>
        <v>N/A</v>
      </c>
      <c r="BA10" s="179" t="str">
        <f ca="1">IFERROR(__xludf.DUMMYFUNCTION("""COMPUTED_VALUE"""),"N/A")</f>
        <v>N/A</v>
      </c>
      <c r="BB10" s="180" t="str">
        <f ca="1">IFERROR(__xludf.DUMMYFUNCTION("""COMPUTED_VALUE"""),"#N/A")</f>
        <v>#N/A</v>
      </c>
      <c r="BC10" s="177"/>
      <c r="BD10" s="181"/>
      <c r="BE10" s="182" t="s">
        <v>465</v>
      </c>
      <c r="BF10" s="182" t="s">
        <v>465</v>
      </c>
      <c r="BG10" s="183"/>
      <c r="BH10" s="182" t="s">
        <v>39</v>
      </c>
      <c r="BI10" s="182" t="s">
        <v>23</v>
      </c>
      <c r="BJ10" s="183"/>
      <c r="BK10" s="183"/>
      <c r="BL10" s="182" t="s">
        <v>23</v>
      </c>
      <c r="BM10" s="183"/>
      <c r="BN10" s="182" t="s">
        <v>257</v>
      </c>
      <c r="BO10" s="182" t="s">
        <v>23</v>
      </c>
      <c r="BP10" s="183"/>
      <c r="BQ10" s="184" t="s">
        <v>41</v>
      </c>
      <c r="BR10" s="182" t="s">
        <v>8</v>
      </c>
      <c r="BS10" s="182">
        <v>50</v>
      </c>
      <c r="BT10" s="185"/>
      <c r="BU10" s="186"/>
      <c r="BV10" s="186"/>
      <c r="BW10" s="186"/>
      <c r="BX10" s="186"/>
      <c r="BY10" s="177"/>
      <c r="BZ10" s="187" t="s">
        <v>258</v>
      </c>
      <c r="CA10" s="188" t="s">
        <v>259</v>
      </c>
      <c r="CB10" s="189" t="s">
        <v>260</v>
      </c>
      <c r="CC10" s="188" t="s">
        <v>164</v>
      </c>
      <c r="CD10" s="189" t="s">
        <v>261</v>
      </c>
      <c r="CE10" s="190"/>
      <c r="CF10" s="191"/>
      <c r="CG10" s="187"/>
      <c r="CH10" s="188" t="s">
        <v>259</v>
      </c>
      <c r="CI10" s="189" t="s">
        <v>260</v>
      </c>
      <c r="CJ10" s="188" t="s">
        <v>164</v>
      </c>
      <c r="CK10" s="192"/>
      <c r="CL10" s="192"/>
      <c r="CM10" s="191"/>
      <c r="CN10" s="190"/>
      <c r="CO10" s="193"/>
      <c r="CP10" s="192"/>
      <c r="CQ10" s="192"/>
      <c r="CR10" s="192"/>
      <c r="CS10" s="192"/>
      <c r="CT10" s="192"/>
      <c r="CU10" s="192"/>
      <c r="CV10" s="192"/>
      <c r="CW10" s="192"/>
      <c r="CX10" s="194"/>
      <c r="CY10" s="195">
        <f ca="1">IFERROR(__xludf.DUMMYFUNCTION("""COMPUTED_VALUE"""),37)</f>
        <v>37</v>
      </c>
      <c r="CZ10" s="196">
        <f ca="1">IFERROR(__xludf.DUMMYFUNCTION("""COMPUTED_VALUE"""),63)</f>
        <v>63</v>
      </c>
      <c r="DA10" s="196">
        <f ca="1">IFERROR(__xludf.DUMMYFUNCTION("""COMPUTED_VALUE"""),89)</f>
        <v>89</v>
      </c>
      <c r="DB10" s="196">
        <f ca="1">IFERROR(__xludf.DUMMYFUNCTION("""COMPUTED_VALUE"""),67)</f>
        <v>67</v>
      </c>
      <c r="DC10" s="196">
        <f ca="1">IFERROR(__xludf.DUMMYFUNCTION("""COMPUTED_VALUE"""),47)</f>
        <v>47</v>
      </c>
      <c r="DD10" s="196">
        <f ca="1">IFERROR(__xludf.DUMMYFUNCTION("""COMPUTED_VALUE"""),28)</f>
        <v>28</v>
      </c>
      <c r="DE10" s="196">
        <f ca="1">IFERROR(__xludf.DUMMYFUNCTION("""COMPUTED_VALUE"""),12)</f>
        <v>12</v>
      </c>
      <c r="DF10" s="197"/>
      <c r="DG10" s="197"/>
      <c r="DH10" s="197"/>
      <c r="DI10" s="197"/>
      <c r="DJ10" s="197"/>
      <c r="DK10" s="198">
        <f ca="1">IFERROR(__xludf.DUMMYFUNCTION("""COMPUTED_VALUE"""),343)</f>
        <v>343</v>
      </c>
      <c r="DL10" s="199" t="s">
        <v>262</v>
      </c>
      <c r="DM10" s="200" t="s">
        <v>263</v>
      </c>
      <c r="DN10" s="179" t="s">
        <v>10</v>
      </c>
      <c r="DO10" s="201" t="s">
        <v>263</v>
      </c>
      <c r="DP10" s="179" t="s">
        <v>26</v>
      </c>
      <c r="DQ10" s="202" t="s">
        <v>27</v>
      </c>
      <c r="DR10" s="203"/>
      <c r="DS10" s="203"/>
      <c r="DT10" s="204" t="s">
        <v>61</v>
      </c>
      <c r="DU10" s="187"/>
      <c r="DV10" s="193"/>
      <c r="DW10" s="205"/>
      <c r="DX10" s="192"/>
      <c r="DY10" s="192"/>
      <c r="DZ10" s="192"/>
      <c r="EA10" s="192"/>
      <c r="EB10" s="206"/>
      <c r="EC10" s="207"/>
      <c r="ED10" s="208"/>
      <c r="EE10" s="207"/>
      <c r="EF10" s="208"/>
      <c r="EG10" s="207"/>
      <c r="EH10" s="208"/>
      <c r="EI10" s="193"/>
      <c r="EJ10" s="208"/>
      <c r="EK10" s="209"/>
      <c r="EL10" s="209"/>
      <c r="EM10" s="210"/>
      <c r="EN10" s="211" t="s">
        <v>264</v>
      </c>
      <c r="EO10" s="212">
        <v>46042</v>
      </c>
      <c r="EP10" s="192"/>
      <c r="EQ10" s="182" t="s">
        <v>78</v>
      </c>
      <c r="ER10" s="192"/>
      <c r="ES10" s="192"/>
      <c r="ET10" s="213"/>
      <c r="EU10" s="214">
        <v>235.37</v>
      </c>
      <c r="EV10" s="192"/>
      <c r="EW10" s="192"/>
      <c r="EX10" s="192"/>
      <c r="EY10" s="215"/>
      <c r="EZ10" s="203"/>
      <c r="FA10" s="203"/>
      <c r="FB10" s="203"/>
      <c r="FC10" s="203"/>
      <c r="FD10" s="203"/>
      <c r="FE10" s="203"/>
      <c r="FF10" s="203"/>
      <c r="FG10" s="203"/>
      <c r="FH10" s="203"/>
      <c r="FI10" s="216" t="b">
        <v>0</v>
      </c>
      <c r="FJ10" s="217" t="b">
        <v>0</v>
      </c>
      <c r="FK10" s="191"/>
      <c r="FL10" s="203"/>
      <c r="FM10" s="193"/>
      <c r="FN10" s="192"/>
      <c r="FO10" s="160" t="b">
        <v>0</v>
      </c>
      <c r="FP10" s="192"/>
      <c r="FQ10" s="218" t="b">
        <v>0</v>
      </c>
      <c r="FR10" s="192"/>
      <c r="FS10" s="219"/>
      <c r="FT10" s="220">
        <f>GJ10-17</f>
        <v>46052</v>
      </c>
      <c r="FU10" s="211" t="s">
        <v>265</v>
      </c>
      <c r="FV10" s="182" t="s">
        <v>266</v>
      </c>
      <c r="FW10" s="221" t="s">
        <v>308</v>
      </c>
      <c r="FX10" s="203"/>
      <c r="FY10" s="215"/>
      <c r="FZ10" s="193"/>
      <c r="GA10" s="192"/>
      <c r="GB10" s="183"/>
      <c r="GC10" s="222" t="s">
        <v>267</v>
      </c>
      <c r="GD10" s="192"/>
      <c r="GE10" s="192"/>
      <c r="GF10" s="182" t="s">
        <v>268</v>
      </c>
      <c r="GG10" s="192"/>
      <c r="GH10" s="192"/>
      <c r="GI10" s="192"/>
      <c r="GJ10" s="223">
        <v>46069</v>
      </c>
      <c r="GK10" s="191"/>
      <c r="GL10" s="191"/>
      <c r="GM10" s="191"/>
      <c r="GN10" s="191"/>
      <c r="GO10" s="191"/>
      <c r="GP10" s="191"/>
      <c r="GQ10" s="191"/>
      <c r="GR10" s="191"/>
      <c r="GS10" s="191"/>
      <c r="GT10" s="191"/>
      <c r="GU10" s="191"/>
      <c r="GV10" s="191"/>
      <c r="GW10" s="191"/>
      <c r="GX10" s="191"/>
      <c r="GY10" s="191"/>
      <c r="GZ10" s="191"/>
      <c r="HA10" s="191"/>
      <c r="HB10" s="191"/>
      <c r="HC10" s="191"/>
      <c r="HD10" s="191"/>
    </row>
    <row r="11" spans="1:212" s="133" customFormat="1" ht="61.5" customHeight="1" thickBot="1">
      <c r="A11" s="224">
        <v>2</v>
      </c>
      <c r="B11" s="225"/>
      <c r="C11" s="226" t="str">
        <f ca="1">IFERROR(__xludf.DUMMYFUNCTION("""COMPUTED_VALUE"""),"MD03601")</f>
        <v>MD03601</v>
      </c>
      <c r="D11" s="227" t="str">
        <f ca="1">IFERROR(__xludf.DUMMYFUNCTION("""COMPUTED_VALUE"""),"PT03898")</f>
        <v>PT03898</v>
      </c>
      <c r="E11" s="227" t="str">
        <f ca="1">IFERROR(__xludf.DUMMYFUNCTION("""COMPUTED_VALUE"""),"SHIMMERING LIGHT OCHRE SEA SPRITE BIKINI TOP")</f>
        <v>SHIMMERING LIGHT OCHRE SEA SPRITE BIKINI TOP</v>
      </c>
      <c r="F11" s="227" t="str">
        <f ca="1">IFERROR(__xludf.DUMMYFUNCTION("""COMPUTED_VALUE"""),"LIGHT OCHRE")</f>
        <v>LIGHT OCHRE</v>
      </c>
      <c r="G11" s="228" t="str">
        <f ca="1">IFERROR(__xludf.DUMMYFUNCTION("""COMPUTED_VALUE"""),"3124")</f>
        <v>3124</v>
      </c>
      <c r="H11" s="225" t="s">
        <v>308</v>
      </c>
      <c r="I11" s="226" t="s">
        <v>308</v>
      </c>
      <c r="J11" s="226" t="s">
        <v>269</v>
      </c>
      <c r="K11" s="164" t="s">
        <v>315</v>
      </c>
      <c r="L11" s="226" t="str">
        <f ca="1">IFERROR(__xludf.DUMMYFUNCTION("""COMPUTED_VALUE"""),"YAMILET")</f>
        <v>YAMILET</v>
      </c>
      <c r="M11" s="165" t="s">
        <v>9</v>
      </c>
      <c r="N11" s="165" t="s">
        <v>270</v>
      </c>
      <c r="O11" s="229" t="s">
        <v>255</v>
      </c>
      <c r="P11" s="167" t="s">
        <v>371</v>
      </c>
      <c r="Q11" s="161" t="s">
        <v>391</v>
      </c>
      <c r="R11" s="227" t="str">
        <f ca="1">IFERROR(__xludf.DUMMYFUNCTION("""COMPUTED_VALUE"""),"SW")</f>
        <v>SW</v>
      </c>
      <c r="S11" s="230" t="str">
        <f ca="1">IFERROR(__xludf.DUMMYFUNCTION("""COMPUTED_VALUE""")," XS-S-M-L-XL ")</f>
        <v xml:space="preserve"> XS-S-M-L-XL </v>
      </c>
      <c r="T11" s="226" t="str">
        <f ca="1">IFERROR(__xludf.DUMMYFUNCTION("""COMPUTED_VALUE"""),"N/A")</f>
        <v>N/A</v>
      </c>
      <c r="U11" s="226" t="str">
        <f ca="1">IFERROR(__xludf.DUMMYFUNCTION("""COMPUTED_VALUE"""),"BUCKLE ON BACK")</f>
        <v>BUCKLE ON BACK</v>
      </c>
      <c r="V11" s="229" t="str">
        <f ca="1">IFERROR(__xludf.DUMMYFUNCTION("""COMPUTED_VALUE"""),"N/A")</f>
        <v>N/A</v>
      </c>
      <c r="W11" s="231" t="str">
        <f ca="1">IFERROR(__xludf.DUMMYFUNCTION("""COMPUTED_VALUE"""),"N/A")</f>
        <v>N/A</v>
      </c>
      <c r="X11" s="232" t="str">
        <f ca="1">IFERROR(__xludf.DUMMYFUNCTION("""COMPUTED_VALUE"""),"N/A")</f>
        <v>N/A</v>
      </c>
      <c r="Y11" s="226" t="str">
        <f ca="1">IFERROR(__xludf.DUMMYFUNCTION("""COMPUTED_VALUE"""),"TE00011988")</f>
        <v>TE00011988</v>
      </c>
      <c r="Z11" s="225" t="s">
        <v>308</v>
      </c>
      <c r="AA11" s="226" t="str">
        <f ca="1">IFERROR(__xludf.DUMMYFUNCTION("""COMPUTED_VALUE"""),"PRNTD SHIMMERING LYCRA, CLERICI SV26 VINTAGE BLOCKPRINTALLOVER GRASS LIGHT RED/MINT/LIGHT ROSE 12CM")</f>
        <v>PRNTD SHIMMERING LYCRA, CLERICI SV26 VINTAGE BLOCKPRINTALLOVER GRASS LIGHT RED/MINT/LIGHT ROSE 12CM</v>
      </c>
      <c r="AB11" s="226" t="str">
        <f ca="1">IFERROR(__xludf.DUMMYFUNCTION("""COMPUTED_VALUE"""),"1.55")</f>
        <v>1.55</v>
      </c>
      <c r="AC11" s="233" t="str">
        <f ca="1">IFERROR(__xludf.DUMMYFUNCTION("""COMPUTED_VALUE"""),"SHIMMERING LYCRA")</f>
        <v>SHIMMERING LYCRA</v>
      </c>
      <c r="AD11" s="231" t="str">
        <f ca="1">IFERROR(__xludf.DUMMYFUNCTION("""COMPUTED_VALUE"""),"N/A")</f>
        <v>N/A</v>
      </c>
      <c r="AE11" s="226" t="str">
        <f ca="1">IFERROR(__xludf.DUMMYFUNCTION("""COMPUTED_VALUE"""),"N/A")</f>
        <v>N/A</v>
      </c>
      <c r="AF11" s="229" t="str">
        <f ca="1">IFERROR(__xludf.DUMMYFUNCTION("""COMPUTED_VALUE"""),"ALL OVER CON ORIENTACION")</f>
        <v>ALL OVER CON ORIENTACION</v>
      </c>
      <c r="AG11" s="231" t="s">
        <v>8</v>
      </c>
      <c r="AH11" s="229">
        <v>16</v>
      </c>
      <c r="AI11" s="234" t="s">
        <v>463</v>
      </c>
      <c r="AJ11" s="267" t="str">
        <f ca="1">IFERROR(__xludf.DUMMYFUNCTION("""COMPUTED_VALUE"""),"N/A")</f>
        <v>N/A</v>
      </c>
      <c r="AK11" s="268" t="str">
        <f ca="1">IFERROR(__xludf.DUMMYFUNCTION("""COMPUTED_VALUE"""),"N/A")</f>
        <v>N/A</v>
      </c>
      <c r="AL11" s="269" t="str">
        <f ca="1">IFERROR(__xludf.DUMMYFUNCTION("""COMPUTED_VALUE"""),"N/A")</f>
        <v>N/A</v>
      </c>
      <c r="AM11" s="268" t="str">
        <f ca="1">IFERROR(__xludf.DUMMYFUNCTION("""COMPUTED_VALUE"""),"N/A")</f>
        <v>N/A</v>
      </c>
      <c r="AN11" s="262" t="s">
        <v>468</v>
      </c>
      <c r="AO11" s="270" t="s">
        <v>469</v>
      </c>
      <c r="AP11" s="271">
        <v>205000</v>
      </c>
      <c r="AQ11" s="235" t="str">
        <f ca="1">IFERROR(__xludf.DUMMYFUNCTION("""COMPUTED_VALUE"""),"#N/A")</f>
        <v>#N/A</v>
      </c>
      <c r="AR11" s="236"/>
      <c r="AS11" s="235" t="s">
        <v>256</v>
      </c>
      <c r="AT11" s="236"/>
      <c r="AU11" s="235" t="s">
        <v>256</v>
      </c>
      <c r="AV11" s="236"/>
      <c r="AW11" s="237"/>
      <c r="AX11" s="235" t="str">
        <f ca="1">IFERROR(__xludf.DUMMYFUNCTION("""COMPUTED_VALUE"""),"#N/A")</f>
        <v>#N/A</v>
      </c>
      <c r="AY11" s="177"/>
      <c r="AZ11" s="178" t="str">
        <f ca="1">IFERROR(__xludf.DUMMYFUNCTION("""COMPUTED_VALUE"""),"N/A")</f>
        <v>N/A</v>
      </c>
      <c r="BA11" s="179" t="str">
        <f ca="1">IFERROR(__xludf.DUMMYFUNCTION("""COMPUTED_VALUE"""),"N/A")</f>
        <v>N/A</v>
      </c>
      <c r="BB11" s="180" t="str">
        <f ca="1">IFERROR(__xludf.DUMMYFUNCTION("""COMPUTED_VALUE"""),"#N/A")</f>
        <v>#N/A</v>
      </c>
      <c r="BC11" s="177"/>
      <c r="BD11" s="181"/>
      <c r="BE11" s="183"/>
      <c r="BF11" s="182" t="s">
        <v>271</v>
      </c>
      <c r="BG11" s="273" t="s">
        <v>470</v>
      </c>
      <c r="BH11" s="182" t="s">
        <v>21</v>
      </c>
      <c r="BI11" s="182" t="s">
        <v>23</v>
      </c>
      <c r="BJ11" s="192"/>
      <c r="BK11" s="192"/>
      <c r="BL11" s="182" t="s">
        <v>23</v>
      </c>
      <c r="BM11" s="192"/>
      <c r="BN11" s="182" t="s">
        <v>272</v>
      </c>
      <c r="BO11" s="160" t="s">
        <v>273</v>
      </c>
      <c r="BP11" s="192"/>
      <c r="BQ11" s="182" t="s">
        <v>24</v>
      </c>
      <c r="BR11" s="182" t="s">
        <v>8</v>
      </c>
      <c r="BS11" s="182">
        <v>12</v>
      </c>
      <c r="BT11" s="185"/>
      <c r="BU11" s="186"/>
      <c r="BV11" s="186"/>
      <c r="BW11" s="186"/>
      <c r="BX11" s="186"/>
      <c r="BY11" s="177"/>
      <c r="BZ11" s="187" t="s">
        <v>258</v>
      </c>
      <c r="CA11" s="188" t="s">
        <v>274</v>
      </c>
      <c r="CB11" s="188" t="s">
        <v>275</v>
      </c>
      <c r="CC11" s="188" t="s">
        <v>276</v>
      </c>
      <c r="CD11" s="189" t="s">
        <v>277</v>
      </c>
      <c r="CE11" s="190"/>
      <c r="CF11" s="191"/>
      <c r="CG11" s="187" t="s">
        <v>258</v>
      </c>
      <c r="CH11" s="188" t="s">
        <v>274</v>
      </c>
      <c r="CI11" s="188" t="s">
        <v>275</v>
      </c>
      <c r="CJ11" s="188" t="s">
        <v>276</v>
      </c>
      <c r="CK11" s="188" t="s">
        <v>278</v>
      </c>
      <c r="CL11" s="182" t="s">
        <v>279</v>
      </c>
      <c r="CM11" s="191"/>
      <c r="CN11" s="190"/>
      <c r="CO11" s="238" t="s">
        <v>279</v>
      </c>
      <c r="CP11" s="182" t="s">
        <v>280</v>
      </c>
      <c r="CQ11" s="192"/>
      <c r="CR11" s="182" t="s">
        <v>281</v>
      </c>
      <c r="CS11" s="192"/>
      <c r="CT11" s="182" t="s">
        <v>282</v>
      </c>
      <c r="CU11" s="192"/>
      <c r="CV11" s="182" t="s">
        <v>283</v>
      </c>
      <c r="CW11" s="192"/>
      <c r="CX11" s="182" t="s">
        <v>279</v>
      </c>
      <c r="CY11" s="239"/>
      <c r="CZ11" s="197"/>
      <c r="DA11" s="197"/>
      <c r="DB11" s="197"/>
      <c r="DC11" s="197"/>
      <c r="DD11" s="197"/>
      <c r="DE11" s="197"/>
      <c r="DF11" s="196">
        <f ca="1">IFERROR(__xludf.DUMMYFUNCTION("""COMPUTED_VALUE"""),36)</f>
        <v>36</v>
      </c>
      <c r="DG11" s="196">
        <f ca="1">IFERROR(__xludf.DUMMYFUNCTION("""COMPUTED_VALUE"""),48)</f>
        <v>48</v>
      </c>
      <c r="DH11" s="196">
        <f ca="1">IFERROR(__xludf.DUMMYFUNCTION("""COMPUTED_VALUE"""),49)</f>
        <v>49</v>
      </c>
      <c r="DI11" s="196">
        <f ca="1">IFERROR(__xludf.DUMMYFUNCTION("""COMPUTED_VALUE"""),31)</f>
        <v>31</v>
      </c>
      <c r="DJ11" s="196">
        <f ca="1">IFERROR(__xludf.DUMMYFUNCTION("""COMPUTED_VALUE"""),14)</f>
        <v>14</v>
      </c>
      <c r="DK11" s="198">
        <f ca="1">IFERROR(__xludf.DUMMYFUNCTION("""COMPUTED_VALUE"""),178)</f>
        <v>178</v>
      </c>
      <c r="DL11" s="199" t="s">
        <v>284</v>
      </c>
      <c r="DM11" s="200" t="s">
        <v>285</v>
      </c>
      <c r="DN11" s="202" t="s">
        <v>10</v>
      </c>
      <c r="DO11" s="201" t="s">
        <v>286</v>
      </c>
      <c r="DP11" s="179" t="s">
        <v>26</v>
      </c>
      <c r="DQ11" s="202" t="s">
        <v>23</v>
      </c>
      <c r="DR11" s="203"/>
      <c r="DS11" s="203"/>
      <c r="DT11" s="204" t="s">
        <v>61</v>
      </c>
      <c r="DU11" s="187"/>
      <c r="DV11" s="240">
        <v>45968</v>
      </c>
      <c r="DW11" s="241">
        <v>45972</v>
      </c>
      <c r="DX11" s="209"/>
      <c r="DY11" s="192"/>
      <c r="DZ11" s="192"/>
      <c r="EA11" s="192"/>
      <c r="EB11" s="206"/>
      <c r="EC11" s="242"/>
      <c r="ED11" s="208"/>
      <c r="EE11" s="193"/>
      <c r="EF11" s="243"/>
      <c r="EG11" s="207"/>
      <c r="EH11" s="208"/>
      <c r="EI11" s="207"/>
      <c r="EJ11" s="208"/>
      <c r="EK11" s="209"/>
      <c r="EL11" s="209"/>
      <c r="EM11" s="210"/>
      <c r="EN11" s="211" t="s">
        <v>287</v>
      </c>
      <c r="EO11" s="212">
        <v>46013</v>
      </c>
      <c r="EP11" s="212">
        <v>46014</v>
      </c>
      <c r="EQ11" s="182" t="s">
        <v>288</v>
      </c>
      <c r="ER11" s="192"/>
      <c r="ES11" s="192"/>
      <c r="ET11" s="213"/>
      <c r="EU11" s="214">
        <v>66.58</v>
      </c>
      <c r="EV11" s="192"/>
      <c r="EW11" s="192"/>
      <c r="EX11" s="192"/>
      <c r="EY11" s="159"/>
      <c r="EZ11" s="203"/>
      <c r="FA11" s="203"/>
      <c r="FB11" s="203"/>
      <c r="FC11" s="203"/>
      <c r="FD11" s="203"/>
      <c r="FE11" s="203"/>
      <c r="FF11" s="203"/>
      <c r="FG11" s="203"/>
      <c r="FH11" s="203"/>
      <c r="FI11" s="216" t="b">
        <v>0</v>
      </c>
      <c r="FJ11" s="160" t="b">
        <v>0</v>
      </c>
      <c r="FK11" s="191"/>
      <c r="FL11" s="244">
        <v>46021</v>
      </c>
      <c r="FM11" s="238" t="s">
        <v>289</v>
      </c>
      <c r="FN11" s="245">
        <v>46030</v>
      </c>
      <c r="FO11" s="160" t="b">
        <v>0</v>
      </c>
      <c r="FP11" s="192"/>
      <c r="FQ11" s="218" t="b">
        <v>0</v>
      </c>
      <c r="FR11" s="245">
        <v>46030</v>
      </c>
      <c r="FS11" s="221" t="s">
        <v>290</v>
      </c>
      <c r="FT11" s="246">
        <f>GJ11-24</f>
        <v>46020</v>
      </c>
      <c r="FU11" s="247" t="s">
        <v>291</v>
      </c>
      <c r="FV11" s="182" t="s">
        <v>292</v>
      </c>
      <c r="FW11" s="221" t="s">
        <v>308</v>
      </c>
      <c r="FX11" s="245">
        <v>46031</v>
      </c>
      <c r="FY11" s="244">
        <v>46031</v>
      </c>
      <c r="FZ11" s="193"/>
      <c r="GA11" s="192"/>
      <c r="GB11" s="160" t="s">
        <v>293</v>
      </c>
      <c r="GC11" s="222" t="s">
        <v>294</v>
      </c>
      <c r="GD11" s="192"/>
      <c r="GE11" s="192"/>
      <c r="GF11" s="248" t="s">
        <v>295</v>
      </c>
      <c r="GG11" s="248">
        <v>13080</v>
      </c>
      <c r="GH11" s="248" t="s">
        <v>256</v>
      </c>
      <c r="GI11" s="249">
        <v>46045</v>
      </c>
      <c r="GJ11" s="250">
        <v>46044</v>
      </c>
      <c r="GK11" s="191"/>
      <c r="GL11" s="191"/>
      <c r="GM11" s="191"/>
      <c r="GN11" s="191"/>
      <c r="GO11" s="191"/>
      <c r="GP11" s="191"/>
      <c r="GQ11" s="191"/>
      <c r="GR11" s="191"/>
      <c r="GS11" s="191"/>
      <c r="GT11" s="191"/>
      <c r="GU11" s="191"/>
      <c r="GV11" s="191"/>
      <c r="GW11" s="191"/>
      <c r="GX11" s="191"/>
      <c r="GY11" s="191"/>
      <c r="GZ11" s="191"/>
      <c r="HA11" s="191"/>
      <c r="HB11" s="191"/>
      <c r="HC11" s="191"/>
      <c r="HD11" s="191"/>
    </row>
    <row r="12" spans="1:212" s="133" customFormat="1" ht="61.5" customHeight="1" thickBot="1">
      <c r="A12" s="158">
        <v>3</v>
      </c>
      <c r="B12" s="159"/>
      <c r="C12" s="160" t="str">
        <f ca="1">IFERROR(__xludf.DUMMYFUNCTION("""COMPUTED_VALUE"""),"MD03602")</f>
        <v>MD03602</v>
      </c>
      <c r="D12" s="161" t="str">
        <f ca="1">IFERROR(__xludf.DUMMYFUNCTION("""COMPUTED_VALUE"""),"PT03899")</f>
        <v>PT03899</v>
      </c>
      <c r="E12" s="161" t="str">
        <f ca="1">IFERROR(__xludf.DUMMYFUNCTION("""COMPUTED_VALUE"""),"SHIMMERING LIGHT OCHRE TAITA BIKINI BOTTOM")</f>
        <v>SHIMMERING LIGHT OCHRE TAITA BIKINI BOTTOM</v>
      </c>
      <c r="F12" s="161" t="str">
        <f ca="1">IFERROR(__xludf.DUMMYFUNCTION("""COMPUTED_VALUE"""),"LIGHT OCHRE")</f>
        <v>LIGHT OCHRE</v>
      </c>
      <c r="G12" s="163" t="str">
        <f ca="1">IFERROR(__xludf.DUMMYFUNCTION("""COMPUTED_VALUE"""),"3124")</f>
        <v>3124</v>
      </c>
      <c r="H12" s="159"/>
      <c r="I12" s="160" t="s">
        <v>308</v>
      </c>
      <c r="J12" s="160" t="s">
        <v>296</v>
      </c>
      <c r="K12" s="164" t="s">
        <v>320</v>
      </c>
      <c r="L12" s="160" t="str">
        <f ca="1">IFERROR(__xludf.DUMMYFUNCTION("""COMPUTED_VALUE"""),"YAMILET")</f>
        <v>YAMILET</v>
      </c>
      <c r="M12" s="165" t="s">
        <v>350</v>
      </c>
      <c r="N12" s="165" t="s">
        <v>270</v>
      </c>
      <c r="O12" s="166" t="s">
        <v>255</v>
      </c>
      <c r="P12" s="167" t="s">
        <v>369</v>
      </c>
      <c r="Q12" s="161" t="s">
        <v>390</v>
      </c>
      <c r="R12" s="161" t="str">
        <f ca="1">IFERROR(__xludf.DUMMYFUNCTION("""COMPUTED_VALUE"""),"SW")</f>
        <v>SW</v>
      </c>
      <c r="S12" s="168" t="str">
        <f ca="1">IFERROR(__xludf.DUMMYFUNCTION("""COMPUTED_VALUE""")," XS-S-M-L-XL ")</f>
        <v xml:space="preserve"> XS-S-M-L-XL </v>
      </c>
      <c r="T12" s="160" t="s">
        <v>462</v>
      </c>
      <c r="U12" s="160" t="str">
        <f ca="1">IFERROR(__xludf.DUMMYFUNCTION("""COMPUTED_VALUE"""),"SLIP ON")</f>
        <v>SLIP ON</v>
      </c>
      <c r="V12" s="166" t="str">
        <f ca="1">IFERROR(__xludf.DUMMYFUNCTION("""COMPUTED_VALUE"""),"N/A")</f>
        <v>N/A</v>
      </c>
      <c r="W12" s="164" t="str">
        <f ca="1">IFERROR(__xludf.DUMMYFUNCTION("""COMPUTED_VALUE"""),"N/A")</f>
        <v>N/A</v>
      </c>
      <c r="X12" s="169" t="str">
        <f ca="1">IFERROR(__xludf.DUMMYFUNCTION("""COMPUTED_VALUE"""),"N/A")</f>
        <v>N/A</v>
      </c>
      <c r="Y12" s="160" t="str">
        <f ca="1">IFERROR(__xludf.DUMMYFUNCTION("""COMPUTED_VALUE"""),"TE00011988")</f>
        <v>TE00011988</v>
      </c>
      <c r="Z12" s="159" t="s">
        <v>308</v>
      </c>
      <c r="AA12" s="160" t="str">
        <f ca="1">IFERROR(__xludf.DUMMYFUNCTION("""COMPUTED_VALUE"""),"PRNTD SHIMMERING LYCRA, CLERICI SV26 VINTAGE BLOCKPRINTALLOVER GRASS LIGHT RED/MINT/LIGHT ROSE 12CM")</f>
        <v>PRNTD SHIMMERING LYCRA, CLERICI SV26 VINTAGE BLOCKPRINTALLOVER GRASS LIGHT RED/MINT/LIGHT ROSE 12CM</v>
      </c>
      <c r="AB12" s="160" t="str">
        <f ca="1">IFERROR(__xludf.DUMMYFUNCTION("""COMPUTED_VALUE"""),"1.55")</f>
        <v>1.55</v>
      </c>
      <c r="AC12" s="170" t="str">
        <f ca="1">IFERROR(__xludf.DUMMYFUNCTION("""COMPUTED_VALUE"""),"SHIMMERING LYCRA")</f>
        <v>SHIMMERING LYCRA</v>
      </c>
      <c r="AD12" s="164" t="str">
        <f ca="1">IFERROR(__xludf.DUMMYFUNCTION("""COMPUTED_VALUE"""),"N/A")</f>
        <v>N/A</v>
      </c>
      <c r="AE12" s="160" t="str">
        <f ca="1">IFERROR(__xludf.DUMMYFUNCTION("""COMPUTED_VALUE"""),"N/A")</f>
        <v>N/A</v>
      </c>
      <c r="AF12" s="166" t="str">
        <f ca="1">IFERROR(__xludf.DUMMYFUNCTION("""COMPUTED_VALUE"""),"ALL OVER CON ORIENTACION")</f>
        <v>ALL OVER CON ORIENTACION</v>
      </c>
      <c r="AG12" s="164" t="str">
        <f ca="1">IFERROR(__xludf.DUMMYFUNCTION("""COMPUTED_VALUE"""),"N/A")</f>
        <v>N/A</v>
      </c>
      <c r="AH12" s="166" t="str">
        <f ca="1">IFERROR(__xludf.DUMMYFUNCTION("""COMPUTED_VALUE"""),"N/A")</f>
        <v>N/A</v>
      </c>
      <c r="AI12" s="173" t="str">
        <f ca="1">IFERROR(__xludf.DUMMYFUNCTION("""COMPUTED_VALUE"""),"N/A")</f>
        <v>N/A</v>
      </c>
      <c r="AJ12" s="262" t="s">
        <v>8</v>
      </c>
      <c r="AK12" s="263" t="s">
        <v>464</v>
      </c>
      <c r="AL12" s="264" t="str">
        <f ca="1">IFERROR(__xludf.DUMMYFUNCTION("""COMPUTED_VALUE"""),"N/A")</f>
        <v>N/A</v>
      </c>
      <c r="AM12" s="261" t="str">
        <f ca="1">IFERROR(__xludf.DUMMYFUNCTION("""COMPUTED_VALUE"""),"N/A")</f>
        <v>N/A</v>
      </c>
      <c r="AN12" s="264" t="str">
        <f ca="1">IFERROR(__xludf.DUMMYFUNCTION("""COMPUTED_VALUE"""),"N/A")</f>
        <v>N/A</v>
      </c>
      <c r="AO12" s="265" t="str">
        <f ca="1">IFERROR(__xludf.DUMMYFUNCTION("""COMPUTED_VALUE"""),"N/A")</f>
        <v>N/A</v>
      </c>
      <c r="AP12" s="272" t="str">
        <f ca="1">IFERROR(__xludf.DUMMYFUNCTION("""COMPUTED_VALUE"""),"N/A")</f>
        <v>N/A</v>
      </c>
      <c r="AQ12" s="174" t="str">
        <f ca="1">IFERROR(__xludf.DUMMYFUNCTION("""COMPUTED_VALUE"""),"#N/A")</f>
        <v>#N/A</v>
      </c>
      <c r="AR12" s="175"/>
      <c r="AS12" s="174" t="s">
        <v>256</v>
      </c>
      <c r="AT12" s="175"/>
      <c r="AU12" s="174" t="s">
        <v>256</v>
      </c>
      <c r="AV12" s="175"/>
      <c r="AW12" s="176"/>
      <c r="AX12" s="174" t="str">
        <f ca="1">IFERROR(__xludf.DUMMYFUNCTION("""COMPUTED_VALUE"""),"#N/A")</f>
        <v>#N/A</v>
      </c>
      <c r="AY12" s="177"/>
      <c r="AZ12" s="178" t="str">
        <f ca="1">IFERROR(__xludf.DUMMYFUNCTION("""COMPUTED_VALUE"""),"N/A")</f>
        <v>N/A</v>
      </c>
      <c r="BA12" s="179" t="str">
        <f ca="1">IFERROR(__xludf.DUMMYFUNCTION("""COMPUTED_VALUE"""),"N/A")</f>
        <v>N/A</v>
      </c>
      <c r="BB12" s="180" t="str">
        <f ca="1">IFERROR(__xludf.DUMMYFUNCTION("""COMPUTED_VALUE"""),"#N/A")</f>
        <v>#N/A</v>
      </c>
      <c r="BC12" s="177"/>
      <c r="BD12" s="181"/>
      <c r="BE12" s="182" t="s">
        <v>297</v>
      </c>
      <c r="BF12" s="182" t="s">
        <v>298</v>
      </c>
      <c r="BG12" s="273" t="s">
        <v>279</v>
      </c>
      <c r="BH12" s="182" t="s">
        <v>21</v>
      </c>
      <c r="BI12" s="182" t="s">
        <v>23</v>
      </c>
      <c r="BJ12" s="192"/>
      <c r="BK12" s="192"/>
      <c r="BL12" s="182" t="s">
        <v>23</v>
      </c>
      <c r="BM12" s="192"/>
      <c r="BN12" s="182" t="s">
        <v>299</v>
      </c>
      <c r="BO12" s="182" t="s">
        <v>300</v>
      </c>
      <c r="BP12" s="192"/>
      <c r="BQ12" s="182" t="s">
        <v>24</v>
      </c>
      <c r="BR12" s="182" t="s">
        <v>25</v>
      </c>
      <c r="BS12" s="182">
        <v>1</v>
      </c>
      <c r="BT12" s="185"/>
      <c r="BU12" s="186"/>
      <c r="BV12" s="186"/>
      <c r="BW12" s="186"/>
      <c r="BX12" s="186"/>
      <c r="BY12" s="177"/>
      <c r="BZ12" s="187" t="s">
        <v>258</v>
      </c>
      <c r="CA12" s="188" t="s">
        <v>301</v>
      </c>
      <c r="CB12" s="188" t="s">
        <v>275</v>
      </c>
      <c r="CC12" s="188" t="s">
        <v>276</v>
      </c>
      <c r="CD12" s="189" t="s">
        <v>302</v>
      </c>
      <c r="CE12" s="190"/>
      <c r="CF12" s="191"/>
      <c r="CG12" s="187" t="s">
        <v>258</v>
      </c>
      <c r="CH12" s="188" t="s">
        <v>301</v>
      </c>
      <c r="CI12" s="188" t="s">
        <v>275</v>
      </c>
      <c r="CJ12" s="188" t="s">
        <v>276</v>
      </c>
      <c r="CK12" s="189" t="s">
        <v>302</v>
      </c>
      <c r="CL12" s="182" t="s">
        <v>279</v>
      </c>
      <c r="CM12" s="191"/>
      <c r="CN12" s="190"/>
      <c r="CO12" s="238" t="s">
        <v>279</v>
      </c>
      <c r="CP12" s="182" t="s">
        <v>280</v>
      </c>
      <c r="CQ12" s="192"/>
      <c r="CR12" s="182" t="s">
        <v>281</v>
      </c>
      <c r="CS12" s="192"/>
      <c r="CT12" s="182" t="s">
        <v>282</v>
      </c>
      <c r="CU12" s="192"/>
      <c r="CV12" s="182" t="s">
        <v>283</v>
      </c>
      <c r="CW12" s="192"/>
      <c r="CX12" s="182" t="s">
        <v>279</v>
      </c>
      <c r="CY12" s="239"/>
      <c r="CZ12" s="197"/>
      <c r="DA12" s="197"/>
      <c r="DB12" s="197"/>
      <c r="DC12" s="197"/>
      <c r="DD12" s="197"/>
      <c r="DE12" s="197"/>
      <c r="DF12" s="182">
        <f ca="1">IFERROR(__xludf.DUMMYFUNCTION("""COMPUTED_VALUE"""),26)</f>
        <v>26</v>
      </c>
      <c r="DG12" s="182">
        <f ca="1">IFERROR(__xludf.DUMMYFUNCTION("""COMPUTED_VALUE"""),38)</f>
        <v>38</v>
      </c>
      <c r="DH12" s="182">
        <f ca="1">IFERROR(__xludf.DUMMYFUNCTION("""COMPUTED_VALUE"""),39)</f>
        <v>39</v>
      </c>
      <c r="DI12" s="182">
        <f ca="1">IFERROR(__xludf.DUMMYFUNCTION("""COMPUTED_VALUE"""),23)</f>
        <v>23</v>
      </c>
      <c r="DJ12" s="182">
        <f ca="1">IFERROR(__xludf.DUMMYFUNCTION("""COMPUTED_VALUE"""),13)</f>
        <v>13</v>
      </c>
      <c r="DK12" s="198">
        <f ca="1">IFERROR(__xludf.DUMMYFUNCTION("""COMPUTED_VALUE"""),139)</f>
        <v>139</v>
      </c>
      <c r="DL12" s="199" t="s">
        <v>284</v>
      </c>
      <c r="DM12" s="200" t="s">
        <v>285</v>
      </c>
      <c r="DN12" s="202" t="s">
        <v>10</v>
      </c>
      <c r="DO12" s="201" t="s">
        <v>285</v>
      </c>
      <c r="DP12" s="179" t="s">
        <v>10</v>
      </c>
      <c r="DQ12" s="202" t="s">
        <v>23</v>
      </c>
      <c r="DR12" s="203"/>
      <c r="DS12" s="251"/>
      <c r="DT12" s="204" t="s">
        <v>61</v>
      </c>
      <c r="DU12" s="187"/>
      <c r="DV12" s="252">
        <v>45969</v>
      </c>
      <c r="DW12" s="252">
        <v>45969</v>
      </c>
      <c r="DX12" s="205"/>
      <c r="DY12" s="192"/>
      <c r="DZ12" s="192"/>
      <c r="EA12" s="192"/>
      <c r="EB12" s="206"/>
      <c r="EC12" s="242"/>
      <c r="ED12" s="208"/>
      <c r="EE12" s="242"/>
      <c r="EF12" s="208"/>
      <c r="EG12" s="193"/>
      <c r="EH12" s="243"/>
      <c r="EI12" s="193"/>
      <c r="EJ12" s="243"/>
      <c r="EK12" s="209"/>
      <c r="EL12" s="209"/>
      <c r="EM12" s="210"/>
      <c r="EN12" s="208"/>
      <c r="EO12" s="192"/>
      <c r="EP12" s="192"/>
      <c r="EQ12" s="192"/>
      <c r="ER12" s="192"/>
      <c r="ES12" s="192"/>
      <c r="ET12" s="213"/>
      <c r="EU12" s="214">
        <v>49.95</v>
      </c>
      <c r="EV12" s="192"/>
      <c r="EW12" s="192"/>
      <c r="EX12" s="192"/>
      <c r="EY12" s="161" t="s">
        <v>63</v>
      </c>
      <c r="EZ12" s="203"/>
      <c r="FA12" s="203"/>
      <c r="FB12" s="203"/>
      <c r="FC12" s="203"/>
      <c r="FD12" s="203"/>
      <c r="FE12" s="203"/>
      <c r="FF12" s="203"/>
      <c r="FG12" s="203"/>
      <c r="FH12" s="203"/>
      <c r="FI12" s="253" t="b">
        <v>1</v>
      </c>
      <c r="FJ12" s="160" t="b">
        <v>0</v>
      </c>
      <c r="FK12" s="191"/>
      <c r="FL12" s="244">
        <v>45969</v>
      </c>
      <c r="FM12" s="238" t="s">
        <v>1</v>
      </c>
      <c r="FN12" s="241">
        <v>45985</v>
      </c>
      <c r="FO12" s="160" t="b">
        <v>0</v>
      </c>
      <c r="FP12" s="192"/>
      <c r="FQ12" s="218" t="b">
        <v>0</v>
      </c>
      <c r="FR12" s="254">
        <v>45985</v>
      </c>
      <c r="FS12" s="219"/>
      <c r="FT12" s="208"/>
      <c r="FU12" s="211" t="s">
        <v>303</v>
      </c>
      <c r="FV12" s="182" t="s">
        <v>292</v>
      </c>
      <c r="FW12" s="221" t="s">
        <v>308</v>
      </c>
      <c r="FX12" s="255">
        <v>45988</v>
      </c>
      <c r="FY12" s="256">
        <v>46006</v>
      </c>
      <c r="FZ12" s="193"/>
      <c r="GA12" s="192"/>
      <c r="GB12" s="182" t="s">
        <v>304</v>
      </c>
      <c r="GC12" s="257"/>
      <c r="GD12" s="183"/>
      <c r="GE12" s="192"/>
      <c r="GF12" s="248" t="s">
        <v>305</v>
      </c>
      <c r="GG12" s="248" t="s">
        <v>306</v>
      </c>
      <c r="GH12" s="258"/>
      <c r="GI12" s="258"/>
      <c r="GJ12" s="259" t="s">
        <v>307</v>
      </c>
      <c r="GK12" s="191"/>
      <c r="GL12" s="191"/>
      <c r="GM12" s="191"/>
      <c r="GN12" s="191"/>
      <c r="GO12" s="191"/>
      <c r="GP12" s="191"/>
      <c r="GQ12" s="191"/>
      <c r="GR12" s="191"/>
      <c r="GS12" s="191"/>
      <c r="GT12" s="191"/>
      <c r="GU12" s="191"/>
      <c r="GV12" s="191"/>
      <c r="GW12" s="191"/>
      <c r="GX12" s="191"/>
      <c r="GY12" s="191"/>
      <c r="GZ12" s="191"/>
      <c r="HA12" s="191"/>
      <c r="HB12" s="191"/>
      <c r="HC12" s="191"/>
      <c r="HD12" s="191"/>
    </row>
    <row r="13" spans="1:212" ht="12.75">
      <c r="AR13" s="157"/>
      <c r="AW13" s="157"/>
      <c r="AY13" s="157"/>
      <c r="BC13" s="157"/>
    </row>
    <row r="14" spans="1:212" ht="12.75">
      <c r="AR14" s="157"/>
      <c r="AW14" s="157"/>
      <c r="AY14" s="157"/>
      <c r="BC14" s="157"/>
    </row>
    <row r="15" spans="1:212" ht="12.75">
      <c r="AR15" s="157"/>
      <c r="AW15" s="157"/>
      <c r="AY15" s="157"/>
      <c r="BC15" s="157"/>
    </row>
    <row r="16" spans="1:212" ht="12.75">
      <c r="AR16" s="157"/>
      <c r="AW16" s="157"/>
      <c r="AY16" s="157"/>
      <c r="BC16" s="157"/>
    </row>
    <row r="17" spans="44:55" ht="12.75">
      <c r="AR17" s="157"/>
      <c r="AW17" s="157"/>
      <c r="AY17" s="157"/>
      <c r="BC17" s="157"/>
    </row>
    <row r="18" spans="44:55" ht="12.75">
      <c r="AR18" s="157"/>
      <c r="AW18" s="157"/>
      <c r="AY18" s="157"/>
      <c r="BC18" s="157"/>
    </row>
    <row r="19" spans="44:55" ht="12.75">
      <c r="AR19" s="157"/>
      <c r="AW19" s="157"/>
      <c r="AY19" s="157"/>
      <c r="BC19" s="157"/>
    </row>
    <row r="20" spans="44:55" ht="12.75">
      <c r="AR20" s="157"/>
      <c r="AW20" s="157"/>
      <c r="AY20" s="157"/>
      <c r="BC20" s="157"/>
    </row>
    <row r="21" spans="44:55" ht="12.75">
      <c r="AR21" s="157"/>
      <c r="AW21" s="157"/>
      <c r="AY21" s="157"/>
      <c r="BC21" s="157"/>
    </row>
    <row r="22" spans="44:55" ht="12.75">
      <c r="AR22" s="157"/>
      <c r="AW22" s="157"/>
      <c r="AY22" s="157"/>
      <c r="BC22" s="157"/>
    </row>
    <row r="23" spans="44:55" ht="12.75">
      <c r="AR23" s="157"/>
      <c r="AW23" s="157"/>
      <c r="AY23" s="157"/>
      <c r="BC23" s="157"/>
    </row>
    <row r="24" spans="44:55" ht="12.75">
      <c r="AR24" s="157"/>
      <c r="AW24" s="157"/>
      <c r="AY24" s="157"/>
      <c r="BC24" s="157"/>
    </row>
    <row r="25" spans="44:55" ht="12.75">
      <c r="AR25" s="157"/>
      <c r="AW25" s="157"/>
      <c r="AY25" s="157"/>
      <c r="BC25" s="157"/>
    </row>
    <row r="26" spans="44:55" ht="12.75">
      <c r="AR26" s="157"/>
      <c r="AW26" s="157"/>
      <c r="AY26" s="157"/>
      <c r="BC26" s="157"/>
    </row>
    <row r="27" spans="44:55" ht="12.75">
      <c r="AR27" s="157"/>
      <c r="AW27" s="157"/>
      <c r="AY27" s="157"/>
      <c r="BC27" s="157"/>
    </row>
    <row r="28" spans="44:55" ht="12.75">
      <c r="AR28" s="157"/>
      <c r="AW28" s="157"/>
      <c r="AY28" s="157"/>
      <c r="BC28" s="157"/>
    </row>
    <row r="29" spans="44:55" ht="12.75">
      <c r="AR29" s="157"/>
      <c r="AW29" s="157"/>
      <c r="AY29" s="157"/>
      <c r="BC29" s="157"/>
    </row>
    <row r="30" spans="44:55" ht="12.75">
      <c r="AR30" s="157"/>
      <c r="AW30" s="157"/>
      <c r="AY30" s="157"/>
      <c r="BC30" s="157"/>
    </row>
    <row r="31" spans="44:55" ht="12.75">
      <c r="AR31" s="157"/>
      <c r="AW31" s="157"/>
      <c r="AY31" s="157"/>
      <c r="BC31" s="157"/>
    </row>
    <row r="32" spans="44:55" ht="12.75">
      <c r="AR32" s="157"/>
      <c r="AW32" s="157"/>
      <c r="AY32" s="157"/>
      <c r="BC32" s="157"/>
    </row>
    <row r="33" spans="44:55" ht="12.75">
      <c r="AR33" s="157"/>
      <c r="AW33" s="157"/>
      <c r="AY33" s="157"/>
      <c r="BC33" s="157"/>
    </row>
    <row r="34" spans="44:55" ht="12.75">
      <c r="AR34" s="157"/>
      <c r="AW34" s="157"/>
      <c r="AY34" s="157"/>
      <c r="BC34" s="157"/>
    </row>
    <row r="35" spans="44:55" ht="12.75">
      <c r="AR35" s="157"/>
      <c r="AW35" s="157"/>
      <c r="AY35" s="157"/>
      <c r="BC35" s="157"/>
    </row>
    <row r="36" spans="44:55" ht="12.75">
      <c r="AR36" s="157"/>
      <c r="AW36" s="157"/>
      <c r="AY36" s="157"/>
      <c r="BC36" s="157"/>
    </row>
    <row r="37" spans="44:55" ht="12.75">
      <c r="AR37" s="157"/>
      <c r="AW37" s="157"/>
      <c r="AY37" s="157"/>
      <c r="BC37" s="157"/>
    </row>
    <row r="38" spans="44:55" ht="12.75">
      <c r="AR38" s="157"/>
      <c r="AW38" s="157"/>
      <c r="AY38" s="157"/>
      <c r="BC38" s="157"/>
    </row>
    <row r="39" spans="44:55" ht="12.75">
      <c r="AR39" s="157"/>
      <c r="AW39" s="157"/>
      <c r="AY39" s="157"/>
      <c r="BC39" s="157"/>
    </row>
    <row r="40" spans="44:55" ht="12.75">
      <c r="AR40" s="157"/>
      <c r="AW40" s="157"/>
      <c r="AY40" s="157"/>
      <c r="BC40" s="157"/>
    </row>
    <row r="41" spans="44:55" ht="12.75">
      <c r="AR41" s="157"/>
      <c r="AW41" s="157"/>
      <c r="AY41" s="157"/>
      <c r="BC41" s="157"/>
    </row>
    <row r="42" spans="44:55" ht="12.75">
      <c r="AR42" s="157"/>
      <c r="AW42" s="157"/>
      <c r="AY42" s="157"/>
      <c r="BC42" s="157"/>
    </row>
    <row r="43" spans="44:55" ht="12.75">
      <c r="AR43" s="157"/>
      <c r="AW43" s="157"/>
      <c r="AY43" s="157"/>
      <c r="BC43" s="157"/>
    </row>
    <row r="44" spans="44:55" ht="12.75">
      <c r="AR44" s="157"/>
      <c r="AW44" s="157"/>
      <c r="AY44" s="157"/>
      <c r="BC44" s="157"/>
    </row>
    <row r="45" spans="44:55" ht="12.75">
      <c r="AR45" s="157"/>
      <c r="AW45" s="157"/>
      <c r="AY45" s="157"/>
      <c r="BC45" s="157"/>
    </row>
    <row r="46" spans="44:55" ht="12.75">
      <c r="AR46" s="157"/>
      <c r="AW46" s="157"/>
      <c r="AY46" s="157"/>
      <c r="BC46" s="157"/>
    </row>
    <row r="47" spans="44:55" ht="12.75">
      <c r="AR47" s="157"/>
      <c r="AW47" s="157"/>
      <c r="AY47" s="157"/>
      <c r="BC47" s="157"/>
    </row>
    <row r="48" spans="44:55" ht="12.75">
      <c r="AR48" s="157"/>
      <c r="AW48" s="157"/>
      <c r="AY48" s="157"/>
      <c r="BC48" s="157"/>
    </row>
    <row r="49" spans="44:55" ht="12.75">
      <c r="AR49" s="157"/>
      <c r="AW49" s="157"/>
      <c r="AY49" s="157"/>
      <c r="BC49" s="157"/>
    </row>
    <row r="50" spans="44:55" ht="12.75">
      <c r="AR50" s="157"/>
      <c r="AW50" s="157"/>
      <c r="AY50" s="157"/>
      <c r="BC50" s="157"/>
    </row>
    <row r="51" spans="44:55" ht="12.75">
      <c r="AR51" s="157"/>
      <c r="AW51" s="157"/>
      <c r="AY51" s="157"/>
      <c r="BC51" s="157"/>
    </row>
    <row r="52" spans="44:55" ht="12.75">
      <c r="AR52" s="157"/>
      <c r="AW52" s="157"/>
      <c r="AY52" s="157"/>
      <c r="BC52" s="157"/>
    </row>
    <row r="53" spans="44:55" ht="12.75">
      <c r="AR53" s="157"/>
      <c r="AW53" s="157"/>
      <c r="AY53" s="157"/>
      <c r="BC53" s="157"/>
    </row>
    <row r="54" spans="44:55" ht="12.75">
      <c r="AR54" s="157"/>
      <c r="AW54" s="157"/>
      <c r="AY54" s="157"/>
      <c r="BC54" s="157"/>
    </row>
    <row r="55" spans="44:55" ht="12.75">
      <c r="AR55" s="157"/>
      <c r="AW55" s="157"/>
      <c r="AY55" s="157"/>
      <c r="BC55" s="157"/>
    </row>
    <row r="56" spans="44:55" ht="12.75">
      <c r="AR56" s="157"/>
      <c r="AW56" s="157"/>
      <c r="AY56" s="157"/>
      <c r="BC56" s="157"/>
    </row>
    <row r="57" spans="44:55" ht="12.75">
      <c r="AR57" s="157"/>
      <c r="AW57" s="157"/>
      <c r="AY57" s="157"/>
      <c r="BC57" s="157"/>
    </row>
    <row r="58" spans="44:55" ht="12.75">
      <c r="AR58" s="157"/>
      <c r="AW58" s="157"/>
      <c r="AY58" s="157"/>
      <c r="BC58" s="157"/>
    </row>
    <row r="59" spans="44:55" ht="12.75">
      <c r="AR59" s="157"/>
      <c r="AW59" s="157"/>
      <c r="AY59" s="157"/>
      <c r="BC59" s="157"/>
    </row>
    <row r="60" spans="44:55" ht="12.75">
      <c r="AR60" s="157"/>
      <c r="AW60" s="157"/>
      <c r="AY60" s="157"/>
      <c r="BC60" s="157"/>
    </row>
    <row r="61" spans="44:55" ht="12.75">
      <c r="AR61" s="157"/>
      <c r="AW61" s="157"/>
      <c r="AY61" s="157"/>
      <c r="BC61" s="157"/>
    </row>
    <row r="62" spans="44:55" ht="12.75">
      <c r="AR62" s="157"/>
      <c r="AW62" s="157"/>
      <c r="AY62" s="157"/>
      <c r="BC62" s="157"/>
    </row>
    <row r="63" spans="44:55" ht="12.75">
      <c r="AR63" s="157"/>
      <c r="AW63" s="157"/>
      <c r="AY63" s="157"/>
      <c r="BC63" s="157"/>
    </row>
    <row r="64" spans="44:55" ht="12.75">
      <c r="AR64" s="157"/>
      <c r="AW64" s="157"/>
      <c r="AY64" s="157"/>
      <c r="BC64" s="157"/>
    </row>
    <row r="65" spans="44:55" ht="12.75">
      <c r="AR65" s="157"/>
      <c r="AW65" s="157"/>
      <c r="AY65" s="157"/>
      <c r="BC65" s="157"/>
    </row>
    <row r="66" spans="44:55" ht="12.75">
      <c r="AR66" s="157"/>
      <c r="AW66" s="157"/>
      <c r="AY66" s="157"/>
      <c r="BC66" s="157"/>
    </row>
    <row r="67" spans="44:55" ht="12.75">
      <c r="AR67" s="157"/>
      <c r="AW67" s="157"/>
      <c r="AY67" s="157"/>
      <c r="BC67" s="157"/>
    </row>
    <row r="68" spans="44:55" ht="12.75">
      <c r="AR68" s="157"/>
      <c r="AW68" s="157"/>
      <c r="AY68" s="157"/>
      <c r="BC68" s="157"/>
    </row>
    <row r="69" spans="44:55" ht="12.75">
      <c r="AR69" s="157"/>
      <c r="AW69" s="157"/>
      <c r="AY69" s="157"/>
      <c r="BC69" s="157"/>
    </row>
    <row r="70" spans="44:55" ht="12.75">
      <c r="AR70" s="157"/>
      <c r="AW70" s="157"/>
      <c r="AY70" s="157"/>
      <c r="BC70" s="157"/>
    </row>
    <row r="71" spans="44:55" ht="12.75">
      <c r="AR71" s="157"/>
      <c r="AW71" s="157"/>
      <c r="AY71" s="157"/>
      <c r="BC71" s="157"/>
    </row>
    <row r="72" spans="44:55" ht="12.75">
      <c r="AR72" s="157"/>
      <c r="AW72" s="157"/>
      <c r="AY72" s="157"/>
      <c r="BC72" s="157"/>
    </row>
    <row r="73" spans="44:55" ht="12.75">
      <c r="AR73" s="157"/>
      <c r="AW73" s="157"/>
      <c r="AY73" s="157"/>
      <c r="BC73" s="157"/>
    </row>
    <row r="74" spans="44:55" ht="12.75">
      <c r="AR74" s="157"/>
      <c r="AW74" s="157"/>
      <c r="AY74" s="157"/>
      <c r="BC74" s="157"/>
    </row>
    <row r="75" spans="44:55" ht="12.75">
      <c r="AR75" s="157"/>
      <c r="AW75" s="157"/>
      <c r="AY75" s="157"/>
      <c r="BC75" s="157"/>
    </row>
    <row r="76" spans="44:55" ht="12.75">
      <c r="AR76" s="157"/>
      <c r="AW76" s="157"/>
      <c r="AY76" s="157"/>
      <c r="BC76" s="157"/>
    </row>
    <row r="77" spans="44:55" ht="12.75">
      <c r="AR77" s="157"/>
      <c r="AW77" s="157"/>
      <c r="AY77" s="157"/>
      <c r="BC77" s="157"/>
    </row>
    <row r="78" spans="44:55" ht="12.75">
      <c r="AR78" s="157"/>
      <c r="AW78" s="157"/>
      <c r="AY78" s="157"/>
      <c r="BC78" s="157"/>
    </row>
    <row r="79" spans="44:55" ht="12.75">
      <c r="AR79" s="157"/>
      <c r="AW79" s="157"/>
      <c r="AY79" s="157"/>
      <c r="BC79" s="157"/>
    </row>
    <row r="80" spans="44:55" ht="12.75">
      <c r="AR80" s="157"/>
      <c r="AW80" s="157"/>
      <c r="AY80" s="157"/>
      <c r="BC80" s="157"/>
    </row>
    <row r="81" spans="44:55" ht="12.75">
      <c r="AR81" s="157"/>
      <c r="AW81" s="157"/>
      <c r="AY81" s="157"/>
      <c r="BC81" s="157"/>
    </row>
    <row r="82" spans="44:55" ht="12.75">
      <c r="AR82" s="157"/>
      <c r="AW82" s="157"/>
      <c r="AY82" s="157"/>
      <c r="BC82" s="157"/>
    </row>
    <row r="83" spans="44:55" ht="12.75">
      <c r="AR83" s="157"/>
      <c r="AW83" s="157"/>
      <c r="AY83" s="157"/>
      <c r="BC83" s="157"/>
    </row>
    <row r="84" spans="44:55" ht="12.75">
      <c r="AR84" s="157"/>
      <c r="AW84" s="157"/>
      <c r="AY84" s="157"/>
      <c r="BC84" s="157"/>
    </row>
    <row r="85" spans="44:55" ht="12.75">
      <c r="AR85" s="157"/>
      <c r="AW85" s="157"/>
      <c r="AY85" s="157"/>
      <c r="BC85" s="157"/>
    </row>
    <row r="86" spans="44:55" ht="12.75">
      <c r="AR86" s="157"/>
      <c r="AW86" s="157"/>
      <c r="AY86" s="157"/>
      <c r="BC86" s="157"/>
    </row>
    <row r="87" spans="44:55" ht="12.75">
      <c r="AR87" s="157"/>
      <c r="AW87" s="157"/>
      <c r="AY87" s="157"/>
      <c r="BC87" s="157"/>
    </row>
    <row r="88" spans="44:55" ht="12.75">
      <c r="AR88" s="157"/>
      <c r="AW88" s="157"/>
      <c r="AY88" s="157"/>
      <c r="BC88" s="157"/>
    </row>
    <row r="89" spans="44:55" ht="12.75">
      <c r="AR89" s="157"/>
      <c r="AW89" s="157"/>
      <c r="AY89" s="157"/>
      <c r="BC89" s="157"/>
    </row>
    <row r="90" spans="44:55" ht="12.75">
      <c r="AR90" s="157"/>
      <c r="AW90" s="157"/>
      <c r="AY90" s="157"/>
      <c r="BC90" s="157"/>
    </row>
    <row r="91" spans="44:55" ht="12.75">
      <c r="AR91" s="157"/>
      <c r="AW91" s="157"/>
      <c r="AY91" s="157"/>
      <c r="BC91" s="157"/>
    </row>
    <row r="92" spans="44:55" ht="12.75">
      <c r="AR92" s="157"/>
      <c r="AW92" s="157"/>
      <c r="AY92" s="157"/>
      <c r="BC92" s="157"/>
    </row>
    <row r="93" spans="44:55" ht="12.75">
      <c r="AR93" s="157"/>
      <c r="AW93" s="157"/>
      <c r="AY93" s="157"/>
      <c r="BC93" s="157"/>
    </row>
    <row r="94" spans="44:55" ht="12.75">
      <c r="AR94" s="157"/>
      <c r="AW94" s="157"/>
      <c r="AY94" s="157"/>
      <c r="BC94" s="157"/>
    </row>
    <row r="95" spans="44:55" ht="12.75">
      <c r="AR95" s="157"/>
      <c r="AW95" s="157"/>
      <c r="AY95" s="157"/>
      <c r="BC95" s="157"/>
    </row>
    <row r="96" spans="44:55" ht="12.75">
      <c r="AR96" s="157"/>
      <c r="AW96" s="157"/>
      <c r="AY96" s="157"/>
      <c r="BC96" s="157"/>
    </row>
    <row r="97" spans="44:55" ht="12.75">
      <c r="AR97" s="157"/>
      <c r="AW97" s="157"/>
      <c r="AY97" s="157"/>
      <c r="BC97" s="157"/>
    </row>
    <row r="98" spans="44:55" ht="12.75">
      <c r="AR98" s="157"/>
      <c r="AW98" s="157"/>
      <c r="AY98" s="157"/>
      <c r="BC98" s="157"/>
    </row>
    <row r="99" spans="44:55" ht="12.75">
      <c r="AR99" s="157"/>
      <c r="AW99" s="157"/>
      <c r="AY99" s="157"/>
      <c r="BC99" s="157"/>
    </row>
    <row r="100" spans="44:55" ht="12.75">
      <c r="AR100" s="157"/>
      <c r="AW100" s="157"/>
      <c r="AY100" s="157"/>
      <c r="BC100" s="157"/>
    </row>
    <row r="101" spans="44:55" ht="12.75">
      <c r="AR101" s="157"/>
      <c r="AW101" s="157"/>
      <c r="AY101" s="157"/>
      <c r="BC101" s="157"/>
    </row>
    <row r="102" spans="44:55" ht="12.75">
      <c r="AR102" s="157"/>
      <c r="AW102" s="157"/>
      <c r="AY102" s="157"/>
      <c r="BC102" s="157"/>
    </row>
    <row r="103" spans="44:55" ht="12.75">
      <c r="AR103" s="157"/>
      <c r="AW103" s="157"/>
      <c r="AY103" s="157"/>
      <c r="BC103" s="157"/>
    </row>
    <row r="104" spans="44:55" ht="12.75">
      <c r="AR104" s="157"/>
      <c r="AW104" s="157"/>
      <c r="AY104" s="157"/>
      <c r="BC104" s="157"/>
    </row>
    <row r="105" spans="44:55" ht="12.75">
      <c r="AR105" s="157"/>
      <c r="AW105" s="157"/>
      <c r="AY105" s="157"/>
      <c r="BC105" s="157"/>
    </row>
    <row r="106" spans="44:55" ht="12.75">
      <c r="AR106" s="157"/>
      <c r="AW106" s="157"/>
      <c r="AY106" s="157"/>
      <c r="BC106" s="157"/>
    </row>
    <row r="107" spans="44:55" ht="12.75">
      <c r="AR107" s="157"/>
      <c r="AW107" s="157"/>
      <c r="AY107" s="157"/>
      <c r="BC107" s="157"/>
    </row>
    <row r="108" spans="44:55" ht="12.75">
      <c r="AR108" s="157"/>
      <c r="AW108" s="157"/>
      <c r="AY108" s="157"/>
      <c r="BC108" s="157"/>
    </row>
    <row r="109" spans="44:55" ht="12.75">
      <c r="AR109" s="157"/>
      <c r="AW109" s="157"/>
      <c r="AY109" s="157"/>
      <c r="BC109" s="157"/>
    </row>
    <row r="110" spans="44:55" ht="12.75">
      <c r="AR110" s="157"/>
      <c r="AW110" s="157"/>
      <c r="AY110" s="157"/>
      <c r="BC110" s="157"/>
    </row>
    <row r="111" spans="44:55" ht="12.75">
      <c r="AR111" s="157"/>
      <c r="AW111" s="157"/>
      <c r="AY111" s="157"/>
      <c r="BC111" s="157"/>
    </row>
    <row r="112" spans="44:55" ht="12.75">
      <c r="AR112" s="157"/>
      <c r="AW112" s="157"/>
      <c r="AY112" s="157"/>
      <c r="BC112" s="157"/>
    </row>
    <row r="113" spans="44:55" ht="12.75">
      <c r="AR113" s="157"/>
      <c r="AW113" s="157"/>
      <c r="AY113" s="157"/>
      <c r="BC113" s="157"/>
    </row>
    <row r="114" spans="44:55" ht="12.75">
      <c r="AR114" s="157"/>
      <c r="AW114" s="157"/>
      <c r="AY114" s="157"/>
      <c r="BC114" s="157"/>
    </row>
    <row r="115" spans="44:55" ht="12.75">
      <c r="AR115" s="157"/>
      <c r="AW115" s="157"/>
      <c r="AY115" s="157"/>
      <c r="BC115" s="157"/>
    </row>
    <row r="116" spans="44:55" ht="12.75">
      <c r="AR116" s="157"/>
      <c r="AW116" s="157"/>
      <c r="AY116" s="157"/>
      <c r="BC116" s="157"/>
    </row>
    <row r="117" spans="44:55" ht="12.75">
      <c r="AR117" s="157"/>
      <c r="AW117" s="157"/>
      <c r="AY117" s="157"/>
      <c r="BC117" s="157"/>
    </row>
    <row r="118" spans="44:55" ht="12.75">
      <c r="AR118" s="157"/>
      <c r="AW118" s="157"/>
      <c r="AY118" s="157"/>
      <c r="BC118" s="157"/>
    </row>
    <row r="119" spans="44:55" ht="12.75">
      <c r="AR119" s="157"/>
      <c r="AW119" s="157"/>
      <c r="AY119" s="157"/>
      <c r="BC119" s="157"/>
    </row>
    <row r="120" spans="44:55" ht="12.75">
      <c r="AR120" s="157"/>
      <c r="AW120" s="157"/>
      <c r="AY120" s="157"/>
      <c r="BC120" s="157"/>
    </row>
    <row r="121" spans="44:55" ht="12.75">
      <c r="AR121" s="157"/>
      <c r="AW121" s="157"/>
      <c r="AY121" s="157"/>
      <c r="BC121" s="157"/>
    </row>
    <row r="122" spans="44:55" ht="12.75">
      <c r="AR122" s="157"/>
      <c r="AW122" s="157"/>
      <c r="AY122" s="157"/>
      <c r="BC122" s="157"/>
    </row>
    <row r="123" spans="44:55" ht="12.75">
      <c r="AR123" s="157"/>
      <c r="AW123" s="157"/>
      <c r="AY123" s="157"/>
      <c r="BC123" s="157"/>
    </row>
    <row r="124" spans="44:55" ht="12.75">
      <c r="AR124" s="157"/>
      <c r="AW124" s="157"/>
      <c r="AY124" s="157"/>
      <c r="BC124" s="157"/>
    </row>
    <row r="125" spans="44:55" ht="12.75">
      <c r="AR125" s="157"/>
      <c r="AW125" s="157"/>
      <c r="AY125" s="157"/>
      <c r="BC125" s="157"/>
    </row>
    <row r="126" spans="44:55" ht="12.75">
      <c r="AR126" s="157"/>
      <c r="AW126" s="157"/>
      <c r="AY126" s="157"/>
      <c r="BC126" s="157"/>
    </row>
    <row r="127" spans="44:55" ht="12.75">
      <c r="AR127" s="157"/>
      <c r="AW127" s="157"/>
      <c r="AY127" s="157"/>
      <c r="BC127" s="157"/>
    </row>
    <row r="128" spans="44:55" ht="12.75">
      <c r="AR128" s="157"/>
      <c r="AW128" s="157"/>
      <c r="AY128" s="157"/>
      <c r="BC128" s="157"/>
    </row>
    <row r="129" spans="44:55" ht="12.75">
      <c r="AR129" s="157"/>
      <c r="AW129" s="157"/>
      <c r="AY129" s="157"/>
      <c r="BC129" s="157"/>
    </row>
    <row r="130" spans="44:55" ht="12.75">
      <c r="AR130" s="157"/>
      <c r="AW130" s="157"/>
      <c r="AY130" s="157"/>
      <c r="BC130" s="157"/>
    </row>
    <row r="131" spans="44:55" ht="12.75">
      <c r="AR131" s="157"/>
      <c r="AW131" s="157"/>
      <c r="AY131" s="157"/>
      <c r="BC131" s="157"/>
    </row>
    <row r="132" spans="44:55" ht="12.75">
      <c r="AR132" s="157"/>
      <c r="AW132" s="157"/>
      <c r="AY132" s="157"/>
      <c r="BC132" s="157"/>
    </row>
    <row r="133" spans="44:55" ht="12.75">
      <c r="AR133" s="157"/>
      <c r="AW133" s="157"/>
      <c r="AY133" s="157"/>
      <c r="BC133" s="157"/>
    </row>
    <row r="134" spans="44:55" ht="12.75">
      <c r="AR134" s="157"/>
      <c r="AW134" s="157"/>
      <c r="AY134" s="157"/>
      <c r="BC134" s="157"/>
    </row>
    <row r="135" spans="44:55" ht="12.75">
      <c r="AR135" s="157"/>
      <c r="AW135" s="157"/>
      <c r="AY135" s="157"/>
      <c r="BC135" s="157"/>
    </row>
    <row r="136" spans="44:55" ht="12.75">
      <c r="AR136" s="157"/>
      <c r="AW136" s="157"/>
      <c r="AY136" s="157"/>
      <c r="BC136" s="157"/>
    </row>
    <row r="137" spans="44:55" ht="12.75">
      <c r="AR137" s="157"/>
      <c r="AW137" s="157"/>
      <c r="AY137" s="157"/>
      <c r="BC137" s="157"/>
    </row>
    <row r="138" spans="44:55" ht="12.75">
      <c r="AR138" s="157"/>
      <c r="AW138" s="157"/>
      <c r="AY138" s="157"/>
      <c r="BC138" s="157"/>
    </row>
    <row r="139" spans="44:55" ht="12.75">
      <c r="AR139" s="157"/>
      <c r="AW139" s="157"/>
      <c r="AY139" s="157"/>
      <c r="BC139" s="157"/>
    </row>
    <row r="140" spans="44:55" ht="12.75">
      <c r="AR140" s="157"/>
      <c r="AW140" s="157"/>
      <c r="AY140" s="157"/>
      <c r="BC140" s="157"/>
    </row>
    <row r="141" spans="44:55" ht="12.75">
      <c r="AR141" s="157"/>
      <c r="AW141" s="157"/>
      <c r="AY141" s="157"/>
      <c r="BC141" s="157"/>
    </row>
    <row r="142" spans="44:55" ht="12.75">
      <c r="AR142" s="157"/>
      <c r="AW142" s="157"/>
      <c r="AY142" s="157"/>
      <c r="BC142" s="157"/>
    </row>
    <row r="143" spans="44:55" ht="12.75">
      <c r="AR143" s="157"/>
      <c r="AW143" s="157"/>
      <c r="AY143" s="157"/>
      <c r="BC143" s="157"/>
    </row>
    <row r="144" spans="44:55" ht="12.75">
      <c r="AR144" s="157"/>
      <c r="AW144" s="157"/>
      <c r="AY144" s="157"/>
      <c r="BC144" s="157"/>
    </row>
    <row r="145" spans="44:55" ht="12.75">
      <c r="AR145" s="157"/>
      <c r="AW145" s="157"/>
      <c r="AY145" s="157"/>
      <c r="BC145" s="157"/>
    </row>
    <row r="146" spans="44:55" ht="12.75">
      <c r="AR146" s="157"/>
      <c r="AW146" s="157"/>
      <c r="AY146" s="157"/>
      <c r="BC146" s="157"/>
    </row>
    <row r="147" spans="44:55" ht="12.75">
      <c r="AR147" s="157"/>
      <c r="AW147" s="157"/>
      <c r="AY147" s="157"/>
      <c r="BC147" s="157"/>
    </row>
    <row r="148" spans="44:55" ht="12.75">
      <c r="AR148" s="157"/>
      <c r="AW148" s="157"/>
      <c r="AY148" s="157"/>
      <c r="BC148" s="157"/>
    </row>
    <row r="149" spans="44:55" ht="12.75">
      <c r="AR149" s="157"/>
      <c r="AW149" s="157"/>
      <c r="AY149" s="157"/>
      <c r="BC149" s="157"/>
    </row>
    <row r="150" spans="44:55" ht="12.75">
      <c r="AR150" s="157"/>
      <c r="AW150" s="157"/>
      <c r="AY150" s="157"/>
      <c r="BC150" s="157"/>
    </row>
    <row r="151" spans="44:55" ht="12.75">
      <c r="AR151" s="157"/>
      <c r="AW151" s="157"/>
      <c r="AY151" s="157"/>
      <c r="BC151" s="157"/>
    </row>
    <row r="152" spans="44:55" ht="12.75">
      <c r="AR152" s="157"/>
      <c r="AW152" s="157"/>
      <c r="AY152" s="157"/>
      <c r="BC152" s="157"/>
    </row>
    <row r="153" spans="44:55" ht="12.75">
      <c r="AR153" s="157"/>
      <c r="AW153" s="157"/>
      <c r="AY153" s="157"/>
      <c r="BC153" s="157"/>
    </row>
    <row r="154" spans="44:55" ht="12.75">
      <c r="AR154" s="157"/>
      <c r="AW154" s="157"/>
      <c r="AY154" s="157"/>
      <c r="BC154" s="157"/>
    </row>
    <row r="155" spans="44:55" ht="12.75">
      <c r="AR155" s="157"/>
      <c r="AW155" s="157"/>
      <c r="AY155" s="157"/>
      <c r="BC155" s="157"/>
    </row>
    <row r="156" spans="44:55" ht="12.75">
      <c r="AR156" s="157"/>
      <c r="AW156" s="157"/>
      <c r="AY156" s="157"/>
      <c r="BC156" s="157"/>
    </row>
    <row r="157" spans="44:55" ht="12.75">
      <c r="AR157" s="157"/>
      <c r="AW157" s="157"/>
      <c r="AY157" s="157"/>
      <c r="BC157" s="157"/>
    </row>
    <row r="158" spans="44:55" ht="12.75">
      <c r="AR158" s="157"/>
      <c r="AW158" s="157"/>
      <c r="AY158" s="157"/>
      <c r="BC158" s="157"/>
    </row>
    <row r="159" spans="44:55" ht="12.75">
      <c r="AR159" s="157"/>
      <c r="AW159" s="157"/>
      <c r="AY159" s="157"/>
      <c r="BC159" s="157"/>
    </row>
    <row r="160" spans="44:55" ht="12.75">
      <c r="AR160" s="157"/>
      <c r="AW160" s="157"/>
      <c r="AY160" s="157"/>
      <c r="BC160" s="157"/>
    </row>
    <row r="161" spans="44:55" ht="12.75">
      <c r="AR161" s="157"/>
      <c r="AW161" s="157"/>
      <c r="AY161" s="157"/>
      <c r="BC161" s="157"/>
    </row>
    <row r="162" spans="44:55" ht="12.75">
      <c r="AR162" s="157"/>
      <c r="AW162" s="157"/>
      <c r="AY162" s="157"/>
      <c r="BC162" s="157"/>
    </row>
    <row r="163" spans="44:55" ht="12.75">
      <c r="AR163" s="157"/>
      <c r="AW163" s="157"/>
      <c r="AY163" s="157"/>
      <c r="BC163" s="157"/>
    </row>
    <row r="164" spans="44:55" ht="12.75">
      <c r="AR164" s="157"/>
      <c r="AW164" s="157"/>
      <c r="AY164" s="157"/>
      <c r="BC164" s="157"/>
    </row>
    <row r="165" spans="44:55" ht="12.75">
      <c r="AR165" s="157"/>
      <c r="AW165" s="157"/>
      <c r="AY165" s="157"/>
      <c r="BC165" s="157"/>
    </row>
    <row r="166" spans="44:55" ht="12.75">
      <c r="AR166" s="157"/>
      <c r="AW166" s="157"/>
      <c r="AY166" s="157"/>
      <c r="BC166" s="157"/>
    </row>
    <row r="167" spans="44:55" ht="12.75">
      <c r="AR167" s="157"/>
      <c r="AW167" s="157"/>
      <c r="AY167" s="157"/>
      <c r="BC167" s="157"/>
    </row>
    <row r="168" spans="44:55" ht="12.75">
      <c r="AR168" s="157"/>
      <c r="AW168" s="157"/>
      <c r="AY168" s="157"/>
      <c r="BC168" s="157"/>
    </row>
    <row r="169" spans="44:55" ht="12.75">
      <c r="AR169" s="157"/>
      <c r="AW169" s="157"/>
      <c r="AY169" s="157"/>
      <c r="BC169" s="157"/>
    </row>
    <row r="170" spans="44:55" ht="12.75">
      <c r="AR170" s="157"/>
      <c r="AW170" s="157"/>
      <c r="AY170" s="157"/>
      <c r="BC170" s="157"/>
    </row>
    <row r="171" spans="44:55" ht="12.75">
      <c r="AR171" s="157"/>
      <c r="AW171" s="157"/>
      <c r="AY171" s="157"/>
      <c r="BC171" s="157"/>
    </row>
    <row r="172" spans="44:55" ht="12.75">
      <c r="AR172" s="157"/>
      <c r="AW172" s="157"/>
      <c r="AY172" s="157"/>
      <c r="BC172" s="157"/>
    </row>
    <row r="173" spans="44:55" ht="12.75">
      <c r="AR173" s="157"/>
      <c r="AW173" s="157"/>
      <c r="AY173" s="157"/>
      <c r="BC173" s="157"/>
    </row>
    <row r="174" spans="44:55" ht="12.75">
      <c r="AR174" s="157"/>
      <c r="AW174" s="157"/>
      <c r="AY174" s="157"/>
      <c r="BC174" s="157"/>
    </row>
    <row r="175" spans="44:55" ht="12.75">
      <c r="AR175" s="157"/>
      <c r="AW175" s="157"/>
      <c r="AY175" s="157"/>
      <c r="BC175" s="157"/>
    </row>
    <row r="176" spans="44:55" ht="12.75">
      <c r="AR176" s="157"/>
      <c r="AW176" s="157"/>
      <c r="AY176" s="157"/>
      <c r="BC176" s="157"/>
    </row>
    <row r="177" spans="44:55" ht="12.75">
      <c r="AR177" s="157"/>
      <c r="AW177" s="157"/>
      <c r="AY177" s="157"/>
      <c r="BC177" s="157"/>
    </row>
    <row r="178" spans="44:55" ht="12.75">
      <c r="AR178" s="157"/>
      <c r="AW178" s="157"/>
      <c r="AY178" s="157"/>
      <c r="BC178" s="157"/>
    </row>
    <row r="179" spans="44:55" ht="12.75">
      <c r="AR179" s="157"/>
      <c r="AW179" s="157"/>
      <c r="AY179" s="157"/>
      <c r="BC179" s="157"/>
    </row>
    <row r="180" spans="44:55" ht="12.75">
      <c r="AR180" s="157"/>
      <c r="AW180" s="157"/>
      <c r="AY180" s="157"/>
      <c r="BC180" s="157"/>
    </row>
    <row r="181" spans="44:55" ht="12.75">
      <c r="AR181" s="157"/>
      <c r="AW181" s="157"/>
      <c r="AY181" s="157"/>
      <c r="BC181" s="157"/>
    </row>
    <row r="182" spans="44:55" ht="12.75">
      <c r="AR182" s="157"/>
      <c r="AW182" s="157"/>
      <c r="AY182" s="157"/>
      <c r="BC182" s="157"/>
    </row>
    <row r="183" spans="44:55" ht="12.75">
      <c r="AR183" s="157"/>
      <c r="AW183" s="157"/>
      <c r="AY183" s="157"/>
      <c r="BC183" s="157"/>
    </row>
    <row r="184" spans="44:55" ht="12.75">
      <c r="AR184" s="157"/>
      <c r="AW184" s="157"/>
      <c r="AY184" s="157"/>
      <c r="BC184" s="157"/>
    </row>
    <row r="185" spans="44:55" ht="12.75">
      <c r="AR185" s="157"/>
      <c r="AW185" s="157"/>
      <c r="AY185" s="157"/>
      <c r="BC185" s="157"/>
    </row>
    <row r="186" spans="44:55" ht="12.75">
      <c r="AR186" s="157"/>
      <c r="AW186" s="157"/>
      <c r="AY186" s="157"/>
      <c r="BC186" s="157"/>
    </row>
    <row r="187" spans="44:55" ht="12.75">
      <c r="AR187" s="157"/>
      <c r="AW187" s="157"/>
      <c r="AY187" s="157"/>
      <c r="BC187" s="157"/>
    </row>
    <row r="188" spans="44:55" ht="12.75">
      <c r="AR188" s="157"/>
      <c r="AW188" s="157"/>
      <c r="AY188" s="157"/>
      <c r="BC188" s="157"/>
    </row>
    <row r="189" spans="44:55" ht="12.75">
      <c r="AR189" s="157"/>
      <c r="AW189" s="157"/>
      <c r="AY189" s="157"/>
      <c r="BC189" s="157"/>
    </row>
    <row r="190" spans="44:55" ht="12.75">
      <c r="AR190" s="157"/>
      <c r="AW190" s="157"/>
      <c r="AY190" s="157"/>
      <c r="BC190" s="157"/>
    </row>
    <row r="191" spans="44:55" ht="12.75">
      <c r="AR191" s="157"/>
      <c r="AW191" s="157"/>
      <c r="AY191" s="157"/>
      <c r="BC191" s="157"/>
    </row>
    <row r="192" spans="44:55" ht="12.75">
      <c r="AR192" s="157"/>
      <c r="AW192" s="157"/>
      <c r="AY192" s="157"/>
      <c r="BC192" s="157"/>
    </row>
    <row r="193" spans="44:55" ht="12.75">
      <c r="AR193" s="157"/>
      <c r="AW193" s="157"/>
      <c r="AY193" s="157"/>
      <c r="BC193" s="157"/>
    </row>
    <row r="194" spans="44:55" ht="12.75">
      <c r="AR194" s="157"/>
      <c r="AW194" s="157"/>
      <c r="AY194" s="157"/>
      <c r="BC194" s="157"/>
    </row>
    <row r="195" spans="44:55" ht="12.75">
      <c r="AR195" s="157"/>
      <c r="AW195" s="157"/>
      <c r="AY195" s="157"/>
      <c r="BC195" s="157"/>
    </row>
    <row r="196" spans="44:55" ht="12.75">
      <c r="AR196" s="157"/>
      <c r="AW196" s="157"/>
      <c r="AY196" s="157"/>
      <c r="BC196" s="157"/>
    </row>
    <row r="197" spans="44:55" ht="12.75">
      <c r="AR197" s="157"/>
      <c r="AW197" s="157"/>
      <c r="AY197" s="157"/>
      <c r="BC197" s="157"/>
    </row>
    <row r="198" spans="44:55" ht="12.75">
      <c r="AR198" s="157"/>
      <c r="AW198" s="157"/>
      <c r="AY198" s="157"/>
      <c r="BC198" s="157"/>
    </row>
    <row r="199" spans="44:55" ht="12.75">
      <c r="AR199" s="157"/>
      <c r="AW199" s="157"/>
      <c r="AY199" s="157"/>
      <c r="BC199" s="157"/>
    </row>
    <row r="200" spans="44:55" ht="12.75">
      <c r="AR200" s="157"/>
      <c r="AW200" s="157"/>
      <c r="AY200" s="157"/>
      <c r="BC200" s="157"/>
    </row>
    <row r="201" spans="44:55" ht="12.75">
      <c r="AR201" s="157"/>
      <c r="AW201" s="157"/>
      <c r="AY201" s="157"/>
      <c r="BC201" s="157"/>
    </row>
  </sheetData>
  <mergeCells count="77">
    <mergeCell ref="A2:C2"/>
    <mergeCell ref="E2:E4"/>
    <mergeCell ref="AE2:AF2"/>
    <mergeCell ref="AX2:AY2"/>
    <mergeCell ref="A3:C3"/>
    <mergeCell ref="AX3:AY3"/>
    <mergeCell ref="AE3:AF3"/>
    <mergeCell ref="AE5:AF5"/>
    <mergeCell ref="A4:C4"/>
    <mergeCell ref="A5:C5"/>
    <mergeCell ref="E5:E6"/>
    <mergeCell ref="A6:C6"/>
    <mergeCell ref="H6:L6"/>
    <mergeCell ref="P6:T6"/>
    <mergeCell ref="U6:Y6"/>
    <mergeCell ref="AE4:AF4"/>
    <mergeCell ref="Z6:AD6"/>
    <mergeCell ref="AE6:AR6"/>
    <mergeCell ref="EN8:EP8"/>
    <mergeCell ref="ES8:ET8"/>
    <mergeCell ref="CG8:CM8"/>
    <mergeCell ref="CO8:CX8"/>
    <mergeCell ref="CY8:DK8"/>
    <mergeCell ref="DL8:DP8"/>
    <mergeCell ref="DT8:DU8"/>
    <mergeCell ref="EC8:EK8"/>
    <mergeCell ref="EL8:EM8"/>
    <mergeCell ref="GV8:GX8"/>
    <mergeCell ref="GY8:HB8"/>
    <mergeCell ref="EV8:EX8"/>
    <mergeCell ref="EY8:FH8"/>
    <mergeCell ref="FM8:FR8"/>
    <mergeCell ref="FZ8:GI8"/>
    <mergeCell ref="GM8:GO8"/>
    <mergeCell ref="GP8:GR8"/>
    <mergeCell ref="GS8:GU8"/>
    <mergeCell ref="CY4:DK4"/>
    <mergeCell ref="AX4:AY4"/>
    <mergeCell ref="AW5:BD5"/>
    <mergeCell ref="CH5:CM5"/>
    <mergeCell ref="CH6:CM6"/>
    <mergeCell ref="CO6:CX6"/>
    <mergeCell ref="CY6:DK6"/>
    <mergeCell ref="GK6:HD6"/>
    <mergeCell ref="AJ7:AP7"/>
    <mergeCell ref="AW7:BD7"/>
    <mergeCell ref="CG7:CM7"/>
    <mergeCell ref="CO7:CX7"/>
    <mergeCell ref="CY7:DK7"/>
    <mergeCell ref="DM7:DQ7"/>
    <mergeCell ref="DR7:DS7"/>
    <mergeCell ref="FX7:FY7"/>
    <mergeCell ref="FZ7:GI7"/>
    <mergeCell ref="GK7:HD7"/>
    <mergeCell ref="EN7:EX7"/>
    <mergeCell ref="EY7:FK7"/>
    <mergeCell ref="FM7:FR7"/>
    <mergeCell ref="FS7:FW7"/>
    <mergeCell ref="A8:F8"/>
    <mergeCell ref="H8:J8"/>
    <mergeCell ref="M8:O8"/>
    <mergeCell ref="W8:X8"/>
    <mergeCell ref="Y8:AC8"/>
    <mergeCell ref="AG8:AH8"/>
    <mergeCell ref="AJ8:AK8"/>
    <mergeCell ref="DV7:DX7"/>
    <mergeCell ref="DY7:EB7"/>
    <mergeCell ref="EC7:EM7"/>
    <mergeCell ref="BT8:BY8"/>
    <mergeCell ref="BZ8:CF8"/>
    <mergeCell ref="AL8:AM8"/>
    <mergeCell ref="AN8:AP8"/>
    <mergeCell ref="AQ8:AV8"/>
    <mergeCell ref="AW8:AY8"/>
    <mergeCell ref="AZ8:BA8"/>
    <mergeCell ref="BB8:BC8"/>
    <mergeCell ref="BE8:BS8"/>
  </mergeCells>
  <dataValidations count="45">
    <dataValidation type="list" allowBlank="1" showErrorMessage="1" sqref="ES10:ES12" xr:uid="{00000000-0002-0000-0000-000000000000}">
      <formula1>"MEDIDAS,CONFECCIÓN RECOGIGA,CONFECCIÓN ESTIRADA,TELA INCONSISTENTE,FALTANTE DE INSUMO,ROTOS,QUEMONES,FALTA DE PLANCHA"</formula1>
    </dataValidation>
    <dataValidation type="list" allowBlank="1" showErrorMessage="1" sqref="BL10:BL12" xr:uid="{00000000-0002-0000-0000-000001000000}">
      <formula1>"SEMIELABORADO,EN PRENDA,NA"</formula1>
    </dataValidation>
    <dataValidation type="list" allowBlank="1" showErrorMessage="1" sqref="R10:R12" xr:uid="{00000000-0002-0000-0000-000002000000}">
      <formula1>"DS,PS,TP,OW,SW,SK,JP,TN"</formula1>
    </dataValidation>
    <dataValidation type="list" allowBlank="1" showErrorMessage="1" sqref="BQ10:BQ12" xr:uid="{00000000-0002-0000-0000-000003000000}">
      <formula1>"MODIFICACIÓN DE ARTE,UBICACIÓN EN TRAZO,ALL OVER,SOLIDO,CANCELADO,PAQ. COMPLETO"</formula1>
    </dataValidation>
    <dataValidation type="list" allowBlank="1" showErrorMessage="1" sqref="S10:S12" xr:uid="{00000000-0002-0000-0000-000004000000}">
      <formula1>"0-2-4-6-8-10-12,XS-S-M-L-XL,S-M-L,0-2-4-6-8"</formula1>
    </dataValidation>
    <dataValidation type="list" allowBlank="1" showErrorMessage="1" sqref="GE10:GE12" xr:uid="{00000000-0002-0000-0000-000005000000}">
      <formula1>"REPROGRAMACION DE CONTRAMUESTRA"</formula1>
    </dataValidation>
    <dataValidation type="list" allowBlank="1" showErrorMessage="1" sqref="GD10:GD11 EQ10:EQ12" xr:uid="{00000000-0002-0000-0000-000007000000}">
      <formula1>"PEND X MODISTA,CONFECCION,MONTAJE EN MANIQUIE,MEDICION #1,ARREGLO DISEÑADOR PARA TERMINAR,ARREGLO EN CONFECCION,BORDADO EN PROCESO,BORDADO FINAL,MANUALIDAD FINAL,PEND INSUMO,MEDICION #2,ARREGLO DISEÑADOR,TERMINADO,ARREGLO DISEÑADOR #2,CONFECCION 2DA PREND"&amp;"A,POR TERMINAR,TERMINACION EN CONFECCION,ARREGLO #3,CONFECCION EXTERNA"</formula1>
    </dataValidation>
    <dataValidation type="list" allowBlank="1" showErrorMessage="1" sqref="BR10:BR12" xr:uid="{00000000-0002-0000-0000-000008000000}">
      <formula1>"SI,NO,CANCELADO,SI VARIACIÓN,REVISAR/PEQCAMBIOS,PAQ. COMPLETO"</formula1>
    </dataValidation>
    <dataValidation type="list" allowBlank="1" showErrorMessage="1" sqref="BU10:BU12" xr:uid="{00000000-0002-0000-0000-000009000000}">
      <formula1>"TÉCNICO,COSTEO,TÉCNICO/COSTEO,OK,RECOMENDACIÓN"</formula1>
    </dataValidation>
    <dataValidation type="list" allowBlank="1" showErrorMessage="1" sqref="FP10:FP12" xr:uid="{00000000-0002-0000-0000-00000A000000}">
      <formula1>"1. ENTREGADO TECNICO,2. VALIDADO JEFFERSON,3. CIERRE DE COSTEO"</formula1>
    </dataValidation>
    <dataValidation type="list" allowBlank="1" showErrorMessage="1" sqref="V10:V12" xr:uid="{00000000-0002-0000-0000-00000C000000}">
      <formula1>"SI,NO,ONLY THE TOP"</formula1>
    </dataValidation>
    <dataValidation type="list" allowBlank="1" showErrorMessage="1" sqref="BH10:BH12" xr:uid="{00000000-0002-0000-0000-00000D000000}">
      <formula1>"MENOR,INTERMEDIO,CRITICO,OK "</formula1>
    </dataValidation>
    <dataValidation type="list" allowBlank="1" showErrorMessage="1" sqref="AG10:AG12" xr:uid="{00000000-0002-0000-0000-00000E000000}">
      <formula1>"SI,N/A"</formula1>
    </dataValidation>
    <dataValidation type="list" allowBlank="1" showErrorMessage="1" sqref="DQ11" xr:uid="{00000000-0002-0000-0000-00000F000000}">
      <formula1>"DESCOLE,DRAPEADO ,PRENSES ,BAÑO DE TOP ,UBICACIÓN DE INSUMOS,AJUSTE DE MOÑOS,PUNTADAS ESPECIALES,POSICIÓN DE BOLEROS,DESCOLE DE BOLEROS,NA"</formula1>
    </dataValidation>
    <dataValidation type="list" allowBlank="1" showErrorMessage="1" sqref="DU10:DU12" xr:uid="{00000000-0002-0000-0000-000010000000}">
      <formula1>"CLAUDIA REYES,FERNANDO CASTAÑO,MARIA ISABEL BURGOS,MARIA DEL MAR ORDOÑEZ,MARGARITA OLIVO,OSMAN LOPEZ,YAMILETH ROSERO,REPROGRAMACIÓN,CANCELADA,PAQUETE COMPLETO,JULIANA PAI,MAYRA PRECIADO,JENNIFER CHANTRE"</formula1>
    </dataValidation>
    <dataValidation type="list" allowBlank="1" showErrorMessage="1" sqref="ED10:ED12 EF10:EF12 EH10:EH12 EJ10:EJ12" xr:uid="{00000000-0002-0000-0000-000011000000}">
      <formula1>"PRENDA COMPLETA,LABORATORIO,REPOSICIÓN PIEZA,REPOSICIÓN DE MUESTRA"</formula1>
    </dataValidation>
    <dataValidation type="list" allowBlank="1" sqref="T10:T12" xr:uid="{00000000-0002-0000-0000-000012000000}">
      <formula1>"MINI 39CM,MINI 41CM,MIDI 92CM,ANKLE 95CM,KIMONO 100 CM,FLATS 112CM,MAXI 115CM,N/A,FLATS MAXI 103,PANTS 102 CM,PANTS 98 CM"</formula1>
    </dataValidation>
    <dataValidation type="list" allowBlank="1" showErrorMessage="1" sqref="U11:U12" xr:uid="{00000000-0002-0000-0000-000013000000}">
      <formula1>"BACK ZIPPER,FRONT ZIPPER,SIDE ZIPPER,FRONT BUTTONS,BUTTONS,SNAPS,WRAP AROUND,TIE AT BACK,TIE AT FRONT,TIE ON SIDE,MAGNET,PUT ON,HOLD ON,SLIP ON,ADJUSTABLE STRAP,HOOK AND EYE,N/A,BACK BUTTON,TIE FASTENING,FRONT BUTTOM,SASH,TIE AT SHOULDER,BACK BUTTONS,TIE "&amp;"AT BACK AND BACK ZIPPER,SLIP ON AND TIE AT BACK,BACK BUTTONS AND BACK ZIPPER,TIE AT BACK AND BACK ZIPPER"</formula1>
    </dataValidation>
    <dataValidation type="list" allowBlank="1" showErrorMessage="1" sqref="DT10:DT12" xr:uid="{00000000-0002-0000-0000-000014000000}">
      <formula1>"ANDREA JACOME,CAMILA VILLEGAS,CLAUDIA DUQUE,CRISTIAN GOMEZ,JENNIFER CHANTRE,KELLY MITROVICH,LINA DELGADO,LUZ KARIME MOLINA,KAROLIN CUMBAL,NATHALY CONTRERAS,MARISOL RIASCOS,REPROGRAMACIÓN,CANCELADA,PAQ. COMPLETO"</formula1>
    </dataValidation>
    <dataValidation type="list" allowBlank="1" showErrorMessage="1" sqref="L11:L12" xr:uid="{00000000-0002-0000-0000-000017000000}">
      <formula1>"BURGOS,CLAUDIA,MARIA DEL MAR,OSMAN,YAMILET,MARGARITA,N/A,FER"</formula1>
    </dataValidation>
    <dataValidation type="list" allowBlank="1" showErrorMessage="1" sqref="EB10:EB12" xr:uid="{00000000-0002-0000-0000-000019000000}">
      <formula1>"EN PROCESO,ENTREGADO"</formula1>
    </dataValidation>
    <dataValidation type="list" allowBlank="1" showErrorMessage="1" sqref="EN10:EN12" xr:uid="{00000000-0002-0000-0000-00001A000000}">
      <formula1>"ALEJANDRA ROJAS,SINDY VASQUEZ,YULEIMI LUCUMI,KAREN MAGALLANES,MARIA EUGENIA SARRIA,KAREN RENGIFO,STELLA MEZA,STELLA CASTAÑO,JIMENA BORJA,MARTA RAMIREZ,LUCY RAMOS,ANA YAMILETH GUEPUD,ADRIANA ESCOBAR,ENEIDA MACA,CIELO AGUIRRE,MARIA NELCY ORDOÑEZ,MARYURI OSP"&amp;"INA,LUISA BUITRAGO,LUISA  HERNANDEZ,LUZ MARY MORALES,FANNY GOMEZ,AISURY QUINTERO,SONIA QUIÑONEZ,DIANA ADARME,ISABEL VALENCIA"</formula1>
    </dataValidation>
    <dataValidation type="list" allowBlank="1" showErrorMessage="1" sqref="CC10:CC12 CJ10:CJ12" xr:uid="{00000000-0002-0000-0000-00001B000000}">
      <formula1>"WOVEN,KNITTED,N/A"</formula1>
    </dataValidation>
    <dataValidation type="list" allowBlank="1" showErrorMessage="1" sqref="DO11:DP11" xr:uid="{00000000-0002-0000-0000-00001C000000}">
      <formula1>"ALTA,INTERMEDIA,BAJA"</formula1>
    </dataValidation>
    <dataValidation type="list" allowBlank="1" showErrorMessage="1" sqref="DQ10 DQ12" xr:uid="{00000000-0002-0000-0000-00001E000000}">
      <formula1>"DESCOLE,DRAPEADO ,PRENSES ,BAÑO DE TOP ,UBICACIÓN DE INSUMOS,AJUSTE DE MOÑOS,PUNTADAS ESPECIALES,POSICIÓN DE BOLEROS,DESCOLE DE BOLEROS,RESORTADO,NA,CANCELADO"</formula1>
    </dataValidation>
    <dataValidation type="list" allowBlank="1" showErrorMessage="1" sqref="DO10 DM10:DM12 DO12" xr:uid="{00000000-0002-0000-0000-00001F000000}">
      <formula1>"ALTA,INTERMEDIA,BAJA,NA,CANCELADO"</formula1>
    </dataValidation>
    <dataValidation type="list" allowBlank="1" showErrorMessage="1" sqref="U10" xr:uid="{00000000-0002-0000-0000-000021000000}">
      <formula1>"BACK ZIPPER,FRONT ZIPPER,SIDE ZIPPER,FRONT BUTTONS,BUTTONS,SNAPS,WRAP AROUND,TIE AT BACK,TIE AT FRONT,TIE ON SIDE,MAGNET,PUT ON,HOLD ON,SLIP ON,ADJUSTABLE STRAP,HOOK AND EYE,N/A,BACK BUTTON,TIE FASTENING,FRONT BUTTOM,SASH,TIE AT SHOULDER,BACK BUTTONS,SLIP"&amp;" ON AND WRAP AROUND,BUCKLE ON BACK,BACK ZIPPER AND BUTTOM,TIE AT BACK AND BUTTONS,TIE AT BACK AND ZIPPER,FRONT SNAPS,FRONT BUCKLE,CHAIN NECKLACE WITH CLASP"</formula1>
    </dataValidation>
    <dataValidation type="list" allowBlank="1" showErrorMessage="1" sqref="W10:W12" xr:uid="{00000000-0002-0000-0000-000022000000}">
      <formula1>"N/A,WITH BELT,EMBROIDERED,WITH SCARF,WITH SCARF AND EMBROIDERED TASSELS,EMBROIDERED FABRIC,EMBROIDERED FABRIC WITH SLIP DRESS,WITH SCARF AND EMBROIDERED,WITH SASH,REMOVABLE FEATHERS,WITH SLIP DRESS,EMBROIDERED AND SLIP SKIRT,EMBROIDERED FABRIC AND CAPE,EM"&amp;"BROIDERED WITH SCARF AND SLIP SKIRT,EMBROIDERED TASSELS,WITH REMOVABLE SKIRT,WITH SASH AND EMBROIDERED,DOUBLE SIDED,WITH PAREO,EMBROIDERED WITH SASH,EMBROIDERED TASSELS AND DOUBLE SIDED,EMBROIDERED STRAP EDGE,EMBROIDERED STRAP EDGE AND DOUBLE SIDED,EMBROI"&amp;"DERED AND EMBROIDERED STRAP EDGING,REVERSIBLE,EMBROIDERED FABRIC AND EMBROIDERED TASSELS,EMBROIDERED FABRIC AND EMBROIDERED STRAP EDGE,EMBROIDERED AND EMBROIDERED STRAPS,EMBROIDERED TASSELS AND SLIP DRESS,EMBROIDERED AND EMBROIDERED TASSELS,EMBROIDERED FA"&amp;"BRIC AND SCARF,WITH SLIP SKIRT,REMOVABLE EMBROIDERED NECK,WITH BROOCH,EMBROIDERED, EMBROIDERED TASSELS AND SCARF,EMBROIDERED AND SCARF WITH TASSELS"</formula1>
    </dataValidation>
    <dataValidation type="list" allowBlank="1" showErrorMessage="1" sqref="FV10:FV12" xr:uid="{00000000-0002-0000-0000-000023000000}">
      <formula1>"1. MOLDERIA INICIAL,2. CORTE,3. CONFECCION,3. CONFECCION EXTERNA,4. BORDADO INTERM CONFECCION,5. ARREGLO DISEÑADOR,6. MEDICION,7. PEND X DEFINIR,8. ARREGLO EN CONFECCION,8. CONFECCION TERMINAR,9. MANUALIDAD,10. ENTREGABLE TÉCNICO,11. FICHA,12. INGENIERIA,"&amp;"13. LOGISTICA,14. ENTREGADO A PRODUCCIÓN,15. SIN TELA,15. SIN TOCAR,15. PENDT X INSUMO,16. CANCELADO,REVISION"</formula1>
    </dataValidation>
    <dataValidation type="list" allowBlank="1" showErrorMessage="1" sqref="O10:O12" xr:uid="{00000000-0002-0000-0000-000024000000}">
      <formula1>"OK FOTO PRENDA,OK FOTO EN AUDACES,NO ALCANZO FOTOS"</formula1>
    </dataValidation>
    <dataValidation type="list" allowBlank="1" showErrorMessage="1" sqref="DP10 DN10:DN12 DP12" xr:uid="{00000000-0002-0000-0000-000025000000}">
      <formula1>"APLICA,NO APLICA,PAQUETE COMPLETO,CANCELADO"</formula1>
    </dataValidation>
    <dataValidation type="list" allowBlank="1" showErrorMessage="1" sqref="BI10:BI12" xr:uid="{00000000-0002-0000-0000-000026000000}">
      <formula1>"MENOR,INTERMEDIO,CRITICO,PROVEEDOR EXTERNO,PAC COMPLETO,NA"</formula1>
    </dataValidation>
    <dataValidation type="list" allowBlank="1" showErrorMessage="1" sqref="FM10:FM12" xr:uid="{00000000-0002-0000-0000-000027000000}">
      <formula1>"JULIANA PAI,NIDIA ERAZO,MAYRA PREACIADO,ANDRI RENGIFO,JULIANA PARRA,ELIANA TROCHEZ ,LINA PEÑA"</formula1>
    </dataValidation>
    <dataValidation type="list" allowBlank="1" showErrorMessage="1" sqref="GL10:GT11" xr:uid="{00000000-0002-0000-0000-000028000000}">
      <formula1>"MEDIDAS,COJOS,PLANTILLAS FALTANTES,PLANTILLAS INCOHERENTES,PIQUETES FALTANTES,PIQUETES ERRADOS,AGREGAR MEDIDAS,FALTANTE DE PROCESOS,FALTA DE ESPECIFICACIÓN,UBICACIÓN DE SESGOS,CANTIDAD DE SESGOS,PIEZAS ANTES DE FUS,INCONSISTENCIA DE OPERACIONES,OPERACIONE"&amp;"S FALTANTES,AÑADE OPERACIONES,OPERACIONES REPETIDAS,COLOR,FALTANTE DE CONSUMO,INCREMENTO DE CONSUMO,COSTEO INCONSISTENTE,FALTANTE DE CONSUMO BORDADO,BORDADO QUE NO APLICA AL PRINT,FUNCIONALIDAD DEL BORDADO"</formula1>
    </dataValidation>
    <dataValidation type="list" allowBlank="1" showErrorMessage="1" sqref="BY10:BY12" xr:uid="{00000000-0002-0000-0000-000029000000}">
      <formula1>"DISMINUYE,AUMENTA,SE ELIMINA Y SE REEMPLAZA,SE AGREGA,SE ELIMINA,DISMINUYE/AUMENTA,NA"</formula1>
    </dataValidation>
    <dataValidation type="list" allowBlank="1" showErrorMessage="1" sqref="BW10:BW12" xr:uid="{00000000-0002-0000-0000-00002A000000}">
      <formula1>"INSUMOS,TELA E HILOS,NA"</formula1>
    </dataValidation>
    <dataValidation type="list" allowBlank="1" showErrorMessage="1" sqref="J10:J12" xr:uid="{00000000-0002-0000-0000-00002B000000}">
      <formula1>#REF!</formula1>
    </dataValidation>
    <dataValidation type="list" allowBlank="1" showErrorMessage="1" sqref="GK10:GK11 FK10:FK12 GL12:GT12" xr:uid="{00000000-0002-0000-0000-00002C000000}">
      <formula1>"CRITICO,INTERMEDIO,MENOR,RECOMENDACIÓN,OK"</formula1>
    </dataValidation>
    <dataValidation type="list" allowBlank="1" showErrorMessage="1" sqref="GV10:HD11" xr:uid="{00000000-0002-0000-0000-00002D000000}">
      <formula1>"DAÑO DE CORTE MAQUILA,DAÑO DE CORTE PRODUCCIÓN,MOD. ARTE CORTA,DAÑO ILLUSTRACIÓN TEXTIL,MOLDERIA DIF. A TRAZO,ARTE DIFERENTE A TRAZO,OK"</formula1>
    </dataValidation>
    <dataValidation type="list" allowBlank="1" showErrorMessage="1" sqref="GU10:GU11 GV12:HD12" xr:uid="{00000000-0002-0000-0000-00002E000000}">
      <formula1>"CUERO,SOLIDO,MOD. ARTE,UBI. TRAZO,ALL OVER"</formula1>
    </dataValidation>
    <dataValidation type="list" allowBlank="1" showErrorMessage="1" sqref="AC10:AC12" xr:uid="{00000000-0002-0000-0000-00002F000000}">
      <formula1>"SILK CDC,SHINY JERSEY,SILK DOUBLE GEORGETTE,LUREX JACQUARD,RAFIA JACQUARD,ENGRAVED JACQUARD,PRINTED JACQUARD,PALM JACQUARD,CREPE BIRDS,LEATHER,CRINKLE VISCOSE,VELVET,FALLA,WASHED CDC,JERSEY,VEGAN LEATHER,DUCHESS,LINEN,COTTON POPLIN,EMBROIDERED EYELET,LYCR"&amp;"A LUREX,PALMNIMAL JACQUARD,DENIM,HAMMERED CHARMEUSE,TERRY,ECO COTTON POPLIN,LYCRA,PRINTED LYCRA,ECO GEORGETTE,LIGHT LINEN,LIGHT POPLING,COTTON MESH,EMBROIDERED COTTON,COTTON VOILE,ECO POPLIN,JACQUARD,COUPÉ GEORGETTE,HEAVY CREPE,PALMTREE JACQUARD,EMBROIDER"&amp;"ED TAFETA,EYELET COTTON,TENCEL,PIMA COTTON,WOVEN VISCOSE,SILK GAZAR,EMBROIDERED SILK,EMBROIDERED VOILE,DRILL,COTTON,CRINKLE LYCRA,CRINKLE LYCRA/LINEN,TWILL,WOOL,DENIM/LEATHER,SEQUINS,EMBROIDERED PANEL/LEAHTER,EMBROIDERED PANEL/DUCHESS,SHEARLING,SHEARLING/"&amp;"LEATHER,MERINO,MERCERIZED,VISCOSE,FEATHERS EMBROIDERED,MESH SEQUINS,CREPE,RIB/LINEN,LYCRA CRINKLE/LINEN,SILK COTTON JACQUARD,SILK LUREX CREPE,SILK CDC/SEQUINS,SILK,COTTON JACQUARD,CHARMEUSE,CRINKLED JACQUARD,ZEBRA JACQUARD,RIB,ACERO VISCOSE,DRILL/LEATHER,"&amp;"ORGANZA,LACE,TWILL CRINKLE"</formula1>
    </dataValidation>
    <dataValidation type="list" allowBlank="1" showErrorMessage="1" sqref="BZ10:BZ12 CG10:CG12" xr:uid="{00000000-0002-0000-0000-000030000000}">
      <formula1>"SUBIDO A SAP,PENDIENTE"</formula1>
    </dataValidation>
    <dataValidation type="list" allowBlank="1" showErrorMessage="1" sqref="DY10:DY12" xr:uid="{00000000-0002-0000-0000-000031000000}">
      <formula1>"BORDADO,MAQUILA CUERO,MAQUILA INDIA,MAQUILA ZF,SUAVIAZADO,ESTAMPADO,PLIZADO,TINTURADO,CRAQUELADO"</formula1>
    </dataValidation>
    <dataValidation type="list" allowBlank="1" showErrorMessage="1" sqref="DL10:DL12" xr:uid="{00000000-0002-0000-0000-000032000000}">
      <formula1>"PUNTO,PLANO,OTRO,CUERO,PAQ. COMPLETO"</formula1>
    </dataValidation>
    <dataValidation type="list" allowBlank="1" showErrorMessage="1" sqref="BV10:BV12" xr:uid="{00000000-0002-0000-0000-000033000000}">
      <formula1>"INCONSISTENCIA ,INFORMACIÓN,FALTANTE,CAMBIO,ANÁLISIS,UNIFICAR,NA"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18000000}">
          <x14:formula1>
            <xm:f>PARAMETROS!$A$4:$A$6238</xm:f>
          </x14:formula1>
          <xm:sqref>F10:F12</xm:sqref>
        </x14:dataValidation>
        <x14:dataValidation type="list" allowBlank="1" showErrorMessage="1" xr:uid="{0D0D1B7A-D2DD-4240-B544-1BD8320EDAB5}">
          <x14:formula1>
            <xm:f>PARAMETROS!$B$2:$B$16</xm:f>
          </x14:formula1>
          <xm:sqref>K10:K12</xm:sqref>
        </x14:dataValidation>
        <x14:dataValidation type="list" allowBlank="1" xr:uid="{00000000-0002-0000-0000-00001D000000}">
          <x14:formula1>
            <xm:f>PARAMETROS!$D3:$D1001</xm:f>
          </x14:formula1>
          <xm:sqref>Y10:Y12</xm:sqref>
        </x14:dataValidation>
        <x14:dataValidation type="list" allowBlank="1" showErrorMessage="1" xr:uid="{E207D6DE-91C7-4D10-974D-AFAD2CF1EF3A}">
          <x14:formula1>
            <xm:f>PARAMETROS!$C$2:$C$9</xm:f>
          </x14:formula1>
          <xm:sqref>L10</xm:sqref>
        </x14:dataValidation>
        <x14:dataValidation type="list" allowBlank="1" showErrorMessage="1" xr:uid="{282CEE70-3319-40B0-94AA-6711BCE09469}">
          <x14:formula1>
            <xm:f>PARAMETROS!$D$2:$D$24</xm:f>
          </x14:formula1>
          <xm:sqref>M10:M12</xm:sqref>
        </x14:dataValidation>
        <x14:dataValidation type="list" allowBlank="1" showErrorMessage="1" xr:uid="{2E667BF1-6F3F-418A-9D90-519796F5A73A}">
          <x14:formula1>
            <xm:f>PARAMETROS!$E$2:$E$24</xm:f>
          </x14:formula1>
          <xm:sqref>N10:N12</xm:sqref>
        </x14:dataValidation>
        <x14:dataValidation type="list" allowBlank="1" showErrorMessage="1" xr:uid="{241C05EA-93D5-4679-A0F8-9D6198EFF06D}">
          <x14:formula1>
            <xm:f>PARAMETROS!$G$2:$G$9</xm:f>
          </x14:formula1>
          <xm:sqref>P10:P12</xm:sqref>
        </x14:dataValidation>
        <x14:dataValidation type="list" allowBlank="1" xr:uid="{64C2FE3B-BD53-440B-B37D-0617340635D4}">
          <x14:formula1>
            <xm:f>PARAMETROS!$H$2:$H$29</xm:f>
          </x14:formula1>
          <xm:sqref>Q10:Q12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B29"/>
  <sheetViews>
    <sheetView topLeftCell="G1" workbookViewId="0">
      <selection activeCell="N2" sqref="N2"/>
    </sheetView>
  </sheetViews>
  <sheetFormatPr baseColWidth="10" defaultColWidth="12.5703125" defaultRowHeight="15.75" customHeight="1"/>
  <cols>
    <col min="1" max="1" width="3.28515625" style="134" customWidth="1"/>
    <col min="2" max="2" width="34.7109375" style="134" customWidth="1"/>
    <col min="3" max="3" width="12.42578125" style="134" customWidth="1"/>
    <col min="4" max="4" width="17.42578125" style="134" customWidth="1"/>
    <col min="5" max="5" width="16.85546875" style="134" customWidth="1"/>
    <col min="6" max="6" width="17.5703125" style="134" customWidth="1"/>
    <col min="7" max="7" width="9.42578125" style="134" customWidth="1"/>
    <col min="8" max="8" width="11.140625" style="134" customWidth="1"/>
    <col min="9" max="9" width="8.85546875" style="134" customWidth="1"/>
    <col min="10" max="10" width="12.140625" style="134" customWidth="1"/>
    <col min="11" max="11" width="12.42578125" style="134" customWidth="1"/>
    <col min="12" max="12" width="12.28515625" style="134" customWidth="1"/>
    <col min="13" max="14" width="14.7109375" style="134" customWidth="1"/>
    <col min="15" max="15" width="9.85546875" style="134" customWidth="1"/>
    <col min="16" max="16" width="16.42578125" style="139" customWidth="1"/>
    <col min="17" max="17" width="12.5703125" style="139"/>
    <col min="18" max="18" width="16.140625" style="139" customWidth="1"/>
    <col min="19" max="16384" width="12.5703125" style="134"/>
  </cols>
  <sheetData>
    <row r="1" spans="2:28" s="140" customFormat="1" ht="35.25" customHeight="1">
      <c r="B1" s="140" t="s">
        <v>327</v>
      </c>
      <c r="C1" s="141" t="s">
        <v>328</v>
      </c>
      <c r="D1" s="141" t="s">
        <v>135</v>
      </c>
      <c r="E1" s="141" t="s">
        <v>136</v>
      </c>
      <c r="F1" s="141" t="s">
        <v>137</v>
      </c>
      <c r="G1" s="141" t="s">
        <v>366</v>
      </c>
      <c r="H1" s="141" t="s">
        <v>375</v>
      </c>
      <c r="I1" s="141" t="s">
        <v>402</v>
      </c>
      <c r="J1" s="141" t="s">
        <v>411</v>
      </c>
      <c r="K1" s="141" t="s">
        <v>416</v>
      </c>
      <c r="L1" s="141" t="s">
        <v>427</v>
      </c>
      <c r="M1" s="141" t="s">
        <v>88</v>
      </c>
      <c r="N1" s="141" t="s">
        <v>447</v>
      </c>
      <c r="O1" s="141" t="s">
        <v>90</v>
      </c>
      <c r="P1" s="141" t="s">
        <v>143</v>
      </c>
      <c r="Q1" s="141" t="s">
        <v>144</v>
      </c>
      <c r="R1" s="141" t="s">
        <v>147</v>
      </c>
      <c r="S1" s="141" t="s">
        <v>152</v>
      </c>
      <c r="T1" s="141"/>
      <c r="U1" s="141"/>
      <c r="V1" s="141"/>
      <c r="W1" s="141"/>
      <c r="X1" s="141"/>
      <c r="Y1" s="141"/>
      <c r="Z1" s="141"/>
      <c r="AA1" s="141"/>
      <c r="AB1" s="141"/>
    </row>
    <row r="2" spans="2:28" ht="15.75" customHeight="1">
      <c r="B2" s="134" t="s">
        <v>312</v>
      </c>
      <c r="C2" s="134" t="s">
        <v>334</v>
      </c>
      <c r="D2" s="134" t="s">
        <v>336</v>
      </c>
      <c r="E2" s="134" t="s">
        <v>355</v>
      </c>
      <c r="F2" s="134" t="s">
        <v>364</v>
      </c>
      <c r="G2" s="134" t="s">
        <v>367</v>
      </c>
      <c r="H2" s="134" t="s">
        <v>376</v>
      </c>
      <c r="I2" s="134" t="s">
        <v>403</v>
      </c>
      <c r="J2" s="134" t="s">
        <v>412</v>
      </c>
      <c r="K2" s="134" t="s">
        <v>417</v>
      </c>
      <c r="L2" s="134" t="s">
        <v>428</v>
      </c>
      <c r="M2" s="134" t="s">
        <v>279</v>
      </c>
      <c r="N2" s="134" t="s">
        <v>448</v>
      </c>
      <c r="O2" s="134" t="s">
        <v>8</v>
      </c>
      <c r="P2" s="137" t="s">
        <v>21</v>
      </c>
      <c r="Q2" s="138" t="s">
        <v>21</v>
      </c>
      <c r="R2" s="137" t="s">
        <v>460</v>
      </c>
      <c r="S2" s="134" t="s">
        <v>41</v>
      </c>
      <c r="T2" s="134" t="s">
        <v>5</v>
      </c>
    </row>
    <row r="3" spans="2:28" ht="15.75" customHeight="1">
      <c r="B3" s="134" t="s">
        <v>313</v>
      </c>
      <c r="C3" s="134" t="s">
        <v>329</v>
      </c>
      <c r="D3" s="134" t="s">
        <v>78</v>
      </c>
      <c r="E3" s="134" t="s">
        <v>356</v>
      </c>
      <c r="F3" s="134" t="s">
        <v>255</v>
      </c>
      <c r="G3" s="134" t="s">
        <v>368</v>
      </c>
      <c r="H3" s="134" t="s">
        <v>377</v>
      </c>
      <c r="I3" s="134" t="s">
        <v>404</v>
      </c>
      <c r="J3" s="134" t="s">
        <v>414</v>
      </c>
      <c r="K3" s="134" t="s">
        <v>418</v>
      </c>
      <c r="L3" s="134" t="s">
        <v>429</v>
      </c>
      <c r="M3" s="134" t="s">
        <v>444</v>
      </c>
      <c r="N3" s="134" t="s">
        <v>449</v>
      </c>
      <c r="O3" s="134" t="s">
        <v>25</v>
      </c>
      <c r="P3" s="137" t="s">
        <v>39</v>
      </c>
      <c r="Q3" s="138" t="s">
        <v>39</v>
      </c>
      <c r="R3" s="137" t="s">
        <v>40</v>
      </c>
      <c r="S3" s="134" t="s">
        <v>461</v>
      </c>
      <c r="T3" s="134" t="s">
        <v>5</v>
      </c>
    </row>
    <row r="4" spans="2:28" ht="15.75" customHeight="1">
      <c r="B4" s="134" t="s">
        <v>314</v>
      </c>
      <c r="C4" s="134" t="s">
        <v>330</v>
      </c>
      <c r="D4" s="134" t="s">
        <v>337</v>
      </c>
      <c r="E4" s="134" t="s">
        <v>357</v>
      </c>
      <c r="F4" s="134" t="s">
        <v>365</v>
      </c>
      <c r="G4" s="134" t="s">
        <v>369</v>
      </c>
      <c r="H4" s="134" t="s">
        <v>378</v>
      </c>
      <c r="I4" s="134" t="s">
        <v>405</v>
      </c>
      <c r="J4" s="134" t="s">
        <v>415</v>
      </c>
      <c r="K4" s="134" t="s">
        <v>419</v>
      </c>
      <c r="L4" s="134" t="s">
        <v>430</v>
      </c>
      <c r="M4" s="134" t="s">
        <v>445</v>
      </c>
      <c r="N4" s="134" t="s">
        <v>450</v>
      </c>
      <c r="O4" s="134" t="s">
        <v>279</v>
      </c>
      <c r="P4" s="137" t="s">
        <v>55</v>
      </c>
      <c r="Q4" s="138" t="s">
        <v>55</v>
      </c>
      <c r="R4" s="137" t="s">
        <v>279</v>
      </c>
      <c r="S4" s="134" t="s">
        <v>24</v>
      </c>
    </row>
    <row r="5" spans="2:28" ht="15.75" customHeight="1">
      <c r="B5" s="134" t="s">
        <v>315</v>
      </c>
      <c r="C5" s="134" t="s">
        <v>331</v>
      </c>
      <c r="D5" s="134" t="s">
        <v>338</v>
      </c>
      <c r="E5" s="134" t="s">
        <v>358</v>
      </c>
      <c r="G5" s="134" t="s">
        <v>370</v>
      </c>
      <c r="H5" s="134" t="s">
        <v>379</v>
      </c>
      <c r="I5" s="134" t="s">
        <v>406</v>
      </c>
      <c r="J5" s="134" t="s">
        <v>413</v>
      </c>
      <c r="K5" s="134" t="s">
        <v>420</v>
      </c>
      <c r="L5" s="134" t="s">
        <v>431</v>
      </c>
      <c r="M5" s="134" t="s">
        <v>446</v>
      </c>
      <c r="N5" s="134" t="s">
        <v>451</v>
      </c>
      <c r="P5" s="139" t="s">
        <v>457</v>
      </c>
      <c r="Q5" s="139" t="s">
        <v>458</v>
      </c>
      <c r="R5" s="139" t="s">
        <v>5</v>
      </c>
      <c r="S5" s="134" t="s">
        <v>7</v>
      </c>
    </row>
    <row r="6" spans="2:28" ht="15.75" customHeight="1">
      <c r="B6" s="134" t="s">
        <v>316</v>
      </c>
      <c r="C6" s="134" t="s">
        <v>332</v>
      </c>
      <c r="D6" s="134" t="s">
        <v>339</v>
      </c>
      <c r="E6" s="134" t="s">
        <v>359</v>
      </c>
      <c r="G6" s="134" t="s">
        <v>371</v>
      </c>
      <c r="H6" s="134" t="s">
        <v>380</v>
      </c>
      <c r="I6" s="134" t="s">
        <v>407</v>
      </c>
      <c r="K6" s="134" t="s">
        <v>421</v>
      </c>
      <c r="L6" s="134" t="s">
        <v>432</v>
      </c>
      <c r="N6" s="134" t="s">
        <v>452</v>
      </c>
      <c r="Q6" s="139" t="s">
        <v>459</v>
      </c>
      <c r="S6" s="134" t="s">
        <v>354</v>
      </c>
    </row>
    <row r="7" spans="2:28" ht="15.75" customHeight="1">
      <c r="B7" s="134" t="s">
        <v>317</v>
      </c>
      <c r="C7" s="134" t="s">
        <v>333</v>
      </c>
      <c r="D7" s="134" t="s">
        <v>340</v>
      </c>
      <c r="E7" s="134" t="s">
        <v>270</v>
      </c>
      <c r="G7" s="134" t="s">
        <v>372</v>
      </c>
      <c r="H7" s="134" t="s">
        <v>381</v>
      </c>
      <c r="I7" s="134" t="s">
        <v>408</v>
      </c>
      <c r="K7" s="134" t="s">
        <v>422</v>
      </c>
      <c r="L7" s="134" t="s">
        <v>433</v>
      </c>
      <c r="N7" s="134" t="s">
        <v>453</v>
      </c>
      <c r="Q7" s="139" t="s">
        <v>279</v>
      </c>
      <c r="S7" s="134" t="s">
        <v>459</v>
      </c>
    </row>
    <row r="8" spans="2:28" ht="15.75" customHeight="1">
      <c r="B8" s="134" t="s">
        <v>318</v>
      </c>
      <c r="C8" s="134" t="s">
        <v>279</v>
      </c>
      <c r="D8" s="134" t="s">
        <v>341</v>
      </c>
      <c r="E8" s="134" t="s">
        <v>287</v>
      </c>
      <c r="G8" s="134" t="s">
        <v>373</v>
      </c>
      <c r="H8" s="134" t="s">
        <v>382</v>
      </c>
      <c r="I8" s="134" t="s">
        <v>409</v>
      </c>
      <c r="K8" s="134" t="s">
        <v>423</v>
      </c>
      <c r="L8" s="134" t="s">
        <v>434</v>
      </c>
      <c r="N8" s="134" t="s">
        <v>454</v>
      </c>
      <c r="O8" s="134" t="s">
        <v>5</v>
      </c>
    </row>
    <row r="9" spans="2:28" ht="15.75" customHeight="1">
      <c r="B9" s="134" t="s">
        <v>319</v>
      </c>
      <c r="C9" s="134" t="s">
        <v>335</v>
      </c>
      <c r="D9" s="134" t="s">
        <v>342</v>
      </c>
      <c r="E9" s="134" t="s">
        <v>360</v>
      </c>
      <c r="G9" s="134" t="s">
        <v>374</v>
      </c>
      <c r="H9" s="134" t="s">
        <v>383</v>
      </c>
      <c r="I9" s="134" t="s">
        <v>410</v>
      </c>
      <c r="K9" s="134" t="s">
        <v>279</v>
      </c>
      <c r="L9" s="134" t="s">
        <v>435</v>
      </c>
      <c r="N9" s="134" t="s">
        <v>455</v>
      </c>
    </row>
    <row r="10" spans="2:28" ht="15.75" customHeight="1">
      <c r="B10" s="134" t="s">
        <v>320</v>
      </c>
      <c r="D10" s="134" t="s">
        <v>343</v>
      </c>
      <c r="E10" s="134" t="s">
        <v>361</v>
      </c>
      <c r="H10" s="134" t="s">
        <v>384</v>
      </c>
      <c r="K10" s="134" t="s">
        <v>424</v>
      </c>
      <c r="L10" s="134" t="s">
        <v>436</v>
      </c>
      <c r="N10" s="134" t="s">
        <v>456</v>
      </c>
    </row>
    <row r="11" spans="2:28" ht="15.75" customHeight="1">
      <c r="B11" s="134" t="s">
        <v>321</v>
      </c>
      <c r="D11" s="134" t="s">
        <v>344</v>
      </c>
      <c r="E11" s="134" t="s">
        <v>362</v>
      </c>
      <c r="H11" s="134" t="s">
        <v>374</v>
      </c>
      <c r="K11" s="134" t="s">
        <v>425</v>
      </c>
      <c r="L11" s="134" t="s">
        <v>437</v>
      </c>
    </row>
    <row r="12" spans="2:28" ht="15.75" customHeight="1">
      <c r="B12" s="134" t="s">
        <v>322</v>
      </c>
      <c r="D12" s="134" t="s">
        <v>345</v>
      </c>
      <c r="E12" s="134" t="s">
        <v>363</v>
      </c>
      <c r="H12" s="134" t="s">
        <v>385</v>
      </c>
      <c r="K12" s="134" t="s">
        <v>426</v>
      </c>
      <c r="L12" s="134" t="s">
        <v>438</v>
      </c>
    </row>
    <row r="13" spans="2:28" ht="15.75" customHeight="1">
      <c r="B13" s="134" t="s">
        <v>323</v>
      </c>
      <c r="D13" s="134" t="s">
        <v>346</v>
      </c>
      <c r="H13" s="134" t="s">
        <v>386</v>
      </c>
      <c r="L13" s="134" t="s">
        <v>439</v>
      </c>
    </row>
    <row r="14" spans="2:28" ht="15.75" customHeight="1">
      <c r="B14" s="134" t="s">
        <v>324</v>
      </c>
      <c r="D14" s="134" t="s">
        <v>253</v>
      </c>
      <c r="H14" s="134" t="s">
        <v>387</v>
      </c>
      <c r="L14" s="134" t="s">
        <v>440</v>
      </c>
    </row>
    <row r="15" spans="2:28" ht="15.75" customHeight="1">
      <c r="B15" s="134" t="s">
        <v>325</v>
      </c>
      <c r="D15" s="134" t="s">
        <v>347</v>
      </c>
      <c r="H15" s="134" t="s">
        <v>388</v>
      </c>
      <c r="L15" s="134" t="s">
        <v>441</v>
      </c>
    </row>
    <row r="16" spans="2:28" ht="15.75" customHeight="1">
      <c r="B16" s="134" t="s">
        <v>326</v>
      </c>
      <c r="D16" s="134" t="s">
        <v>348</v>
      </c>
      <c r="H16" s="134" t="s">
        <v>389</v>
      </c>
      <c r="L16" s="134" t="s">
        <v>442</v>
      </c>
    </row>
    <row r="17" spans="4:13" ht="15.75" customHeight="1">
      <c r="D17" s="134" t="s">
        <v>349</v>
      </c>
      <c r="H17" s="134" t="s">
        <v>390</v>
      </c>
      <c r="L17" s="134" t="s">
        <v>443</v>
      </c>
      <c r="M17" s="134" t="s">
        <v>5</v>
      </c>
    </row>
    <row r="18" spans="4:13" ht="15.75" customHeight="1">
      <c r="D18" s="134" t="s">
        <v>350</v>
      </c>
      <c r="H18" s="134" t="s">
        <v>391</v>
      </c>
    </row>
    <row r="19" spans="4:13" ht="15.75" customHeight="1">
      <c r="D19" s="134" t="s">
        <v>351</v>
      </c>
      <c r="H19" s="134" t="s">
        <v>373</v>
      </c>
    </row>
    <row r="20" spans="4:13" ht="15.75" customHeight="1">
      <c r="D20" s="134" t="s">
        <v>9</v>
      </c>
      <c r="H20" s="134" t="s">
        <v>392</v>
      </c>
    </row>
    <row r="21" spans="4:13" ht="15.75" customHeight="1">
      <c r="D21" s="134" t="s">
        <v>76</v>
      </c>
      <c r="H21" s="134" t="s">
        <v>393</v>
      </c>
    </row>
    <row r="22" spans="4:13" ht="15.75" customHeight="1">
      <c r="D22" s="134" t="s">
        <v>352</v>
      </c>
      <c r="H22" s="134" t="s">
        <v>394</v>
      </c>
    </row>
    <row r="23" spans="4:13" ht="15.75" customHeight="1">
      <c r="D23" s="134" t="s">
        <v>353</v>
      </c>
      <c r="H23" s="134" t="s">
        <v>395</v>
      </c>
    </row>
    <row r="24" spans="4:13" ht="15.75" customHeight="1">
      <c r="D24" s="134" t="s">
        <v>354</v>
      </c>
      <c r="H24" s="134" t="s">
        <v>396</v>
      </c>
    </row>
    <row r="25" spans="4:13" ht="15.75" customHeight="1">
      <c r="H25" s="134" t="s">
        <v>397</v>
      </c>
    </row>
    <row r="26" spans="4:13" ht="15.75" customHeight="1">
      <c r="H26" s="134" t="s">
        <v>398</v>
      </c>
    </row>
    <row r="27" spans="4:13" ht="15.75" customHeight="1">
      <c r="H27" s="134" t="s">
        <v>399</v>
      </c>
    </row>
    <row r="28" spans="4:13" ht="15.75" customHeight="1">
      <c r="H28" s="134" t="s">
        <v>400</v>
      </c>
    </row>
    <row r="29" spans="4:13" ht="15.75" customHeight="1">
      <c r="H29" s="134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Chacon</dc:creator>
  <cp:lastModifiedBy>sistemas JO</cp:lastModifiedBy>
  <dcterms:created xsi:type="dcterms:W3CDTF">2026-01-22T13:30:09Z</dcterms:created>
  <dcterms:modified xsi:type="dcterms:W3CDTF">2026-01-24T15:37:48Z</dcterms:modified>
</cp:coreProperties>
</file>