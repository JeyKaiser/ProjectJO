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chacon\Documents\JEFERSON STUDY\Analisis de secuencia de coleccion\version 2.0\"/>
    </mc:Choice>
  </mc:AlternateContent>
  <xr:revisionPtr revIDLastSave="0" documentId="13_ncr:1_{91797C86-5B2A-4D2F-956D-1F2D1CDB85FB}" xr6:coauthVersionLast="47" xr6:coauthVersionMax="47" xr10:uidLastSave="{00000000-0000-0000-0000-000000000000}"/>
  <bookViews>
    <workbookView xWindow="-120" yWindow="-120" windowWidth="29040" windowHeight="15720" tabRatio="724" activeTab="1" xr2:uid="{00000000-000D-0000-FFFF-FFFF00000000}"/>
  </bookViews>
  <sheets>
    <sheet name="PARAMETROS" sheetId="1" state="hidden" r:id="rId1"/>
    <sheet name="REFERENCIAS_MAESTRO" sheetId="2" r:id="rId2"/>
    <sheet name="CONTROL_DE_NOVEDADES" sheetId="3" r:id="rId3"/>
    <sheet name="RESPONSABLES_ASIGNACIONES" sheetId="4" r:id="rId4"/>
    <sheet name="VALIDACIONES_ENTREGABLES" sheetId="5" r:id="rId5"/>
    <sheet name="REPORTES_DINÁMICOS" sheetId="6" r:id="rId6"/>
    <sheet name="GUÍA_DE_US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6" l="1"/>
  <c r="B7" i="6"/>
  <c r="B6" i="6"/>
  <c r="B5" i="6"/>
</calcChain>
</file>

<file path=xl/sharedStrings.xml><?xml version="1.0" encoding="utf-8"?>
<sst xmlns="http://schemas.openxmlformats.org/spreadsheetml/2006/main" count="496" uniqueCount="286">
  <si>
    <t>Ref</t>
  </si>
  <si>
    <t>Código MD</t>
  </si>
  <si>
    <t>Código PT</t>
  </si>
  <si>
    <t>Nombre Referencia</t>
  </si>
  <si>
    <t>Colección</t>
  </si>
  <si>
    <t>Status General</t>
  </si>
  <si>
    <t>Fase Actual</t>
  </si>
  <si>
    <t>Temperatura</t>
  </si>
  <si>
    <t>Línea</t>
  </si>
  <si>
    <t>Sublínea</t>
  </si>
  <si>
    <t>Tallaje</t>
  </si>
  <si>
    <t>Tipo Prenda</t>
  </si>
  <si>
    <t>Color</t>
  </si>
  <si>
    <t>Diseñador</t>
  </si>
  <si>
    <t>Fecha Creación</t>
  </si>
  <si>
    <t>MD001</t>
  </si>
  <si>
    <t>PT001</t>
  </si>
  <si>
    <t>Vestido Elegant</t>
  </si>
  <si>
    <t>WS27</t>
  </si>
  <si>
    <t>APROBADO</t>
  </si>
  <si>
    <t>🔴 INDUSTRIALIZACIÓN</t>
  </si>
  <si>
    <t>Rojo</t>
  </si>
  <si>
    <t>Vestidos</t>
  </si>
  <si>
    <t>Maxidress</t>
  </si>
  <si>
    <t>XS-S-M-L-XL</t>
  </si>
  <si>
    <t>Vestido</t>
  </si>
  <si>
    <t>Negro</t>
  </si>
  <si>
    <t>María (Diseñador Creativo)</t>
  </si>
  <si>
    <t>2026-04-20</t>
  </si>
  <si>
    <t>MD002</t>
  </si>
  <si>
    <t>PT002</t>
  </si>
  <si>
    <t>Blusa Lisa</t>
  </si>
  <si>
    <t>Tops</t>
  </si>
  <si>
    <t>Crop Top</t>
  </si>
  <si>
    <t>0-2-4-6-8-10-12</t>
  </si>
  <si>
    <t>Blusa</t>
  </si>
  <si>
    <t>Blanco</t>
  </si>
  <si>
    <t>2026-04-19</t>
  </si>
  <si>
    <t>MD003</t>
  </si>
  <si>
    <t>PT003</t>
  </si>
  <si>
    <t>Falda Plisada</t>
  </si>
  <si>
    <t>🟠 VALIDACIÓN TÉCNICA</t>
  </si>
  <si>
    <t>Naranja</t>
  </si>
  <si>
    <t>Faldas</t>
  </si>
  <si>
    <t>Mini</t>
  </si>
  <si>
    <t>Falda</t>
  </si>
  <si>
    <t>Azul</t>
  </si>
  <si>
    <t>Carlos (Patronista)</t>
  </si>
  <si>
    <t>2026-04-18</t>
  </si>
  <si>
    <t>MD004</t>
  </si>
  <si>
    <t>Pantalón Recto</t>
  </si>
  <si>
    <t>EN_PROCESO</t>
  </si>
  <si>
    <t>🟡 LABORATORIO</t>
  </si>
  <si>
    <t>Ámbar</t>
  </si>
  <si>
    <t>Pantalones</t>
  </si>
  <si>
    <t>Casual</t>
  </si>
  <si>
    <t>Pantalón</t>
  </si>
  <si>
    <t>Gris</t>
  </si>
  <si>
    <t>2026-04-21</t>
  </si>
  <si>
    <t>MD005</t>
  </si>
  <si>
    <t>Chaqueta Bolero</t>
  </si>
  <si>
    <t>🔵 IDEACIÓN</t>
  </si>
  <si>
    <t>Chaquetas</t>
  </si>
  <si>
    <t>Bolero</t>
  </si>
  <si>
    <t>Chaqueta</t>
  </si>
  <si>
    <t>Beige</t>
  </si>
  <si>
    <t>Gabriela (Coordinadora)</t>
  </si>
  <si>
    <t>2026-04-22</t>
  </si>
  <si>
    <t>MD006</t>
  </si>
  <si>
    <t>PT006</t>
  </si>
  <si>
    <t>Vestido Flores</t>
  </si>
  <si>
    <t>FW26</t>
  </si>
  <si>
    <t>Midi</t>
  </si>
  <si>
    <t>Multicolor</t>
  </si>
  <si>
    <t>2026-04-17</t>
  </si>
  <si>
    <t>MD007</t>
  </si>
  <si>
    <t>Top Asimétrico</t>
  </si>
  <si>
    <t>Básico</t>
  </si>
  <si>
    <t>Top</t>
  </si>
  <si>
    <t>Rosa</t>
  </si>
  <si>
    <t>2026-04-16</t>
  </si>
  <si>
    <t>MD008</t>
  </si>
  <si>
    <t>Falda Larga</t>
  </si>
  <si>
    <t>Larga</t>
  </si>
  <si>
    <t>Granate</t>
  </si>
  <si>
    <t>2026-04-15</t>
  </si>
  <si>
    <t>RESPONSABLES</t>
  </si>
  <si>
    <t>SUBFASES</t>
  </si>
  <si>
    <t>ÁREAS</t>
  </si>
  <si>
    <t>TIPOS_NOVEDAD</t>
  </si>
  <si>
    <t>COLECCIONES</t>
  </si>
  <si>
    <t>1.1 Perfilamiento</t>
  </si>
  <si>
    <t>CREATIVA</t>
  </si>
  <si>
    <t>CAMBIO_MOLDERÍA</t>
  </si>
  <si>
    <t>1.2 Consumo Base</t>
  </si>
  <si>
    <t>TALLER</t>
  </si>
  <si>
    <t>CAMBIO_CONSUMO</t>
  </si>
  <si>
    <t>1.3 Moldería Base</t>
  </si>
  <si>
    <t>INGENIERÍA</t>
  </si>
  <si>
    <t>CAMBIO_TELA</t>
  </si>
  <si>
    <t>RS26</t>
  </si>
  <si>
    <t>Johanna (Directora Creativa)</t>
  </si>
  <si>
    <t>2.1 Alistamiento</t>
  </si>
  <si>
    <t>PRODUCCIÓN</t>
  </si>
  <si>
    <t>RECHAZO_CALIDAD</t>
  </si>
  <si>
    <t>SS26</t>
  </si>
  <si>
    <t>Roberto (Bodega)</t>
  </si>
  <si>
    <t>2.2 Corte Muestra</t>
  </si>
  <si>
    <t>APROBACIÓN</t>
  </si>
  <si>
    <t>SV26</t>
  </si>
  <si>
    <t>Pedro (Cortador)</t>
  </si>
  <si>
    <t>2.3 Confección</t>
  </si>
  <si>
    <t>PAUSA</t>
  </si>
  <si>
    <t>PF26</t>
  </si>
  <si>
    <t>Ana (Modista)</t>
  </si>
  <si>
    <t>2.4 Procesos Especiales</t>
  </si>
  <si>
    <t>AJUSTE_OBSERVACIÓN</t>
  </si>
  <si>
    <t>Luis (Modista)</t>
  </si>
  <si>
    <t>3.1 Medición</t>
  </si>
  <si>
    <t>PROCESO_ESPECIAL</t>
  </si>
  <si>
    <t>Jorge (Proveedor)</t>
  </si>
  <si>
    <t>3.2 Ajustes</t>
  </si>
  <si>
    <t>VALIDACIÓN_CUMPLIDA</t>
  </si>
  <si>
    <t>Miguel (Técnico)</t>
  </si>
  <si>
    <t>3.3 Escalado</t>
  </si>
  <si>
    <t>Diana (Técnica)</t>
  </si>
  <si>
    <t>3.4 Trazos</t>
  </si>
  <si>
    <t>Fernando (Trazador)</t>
  </si>
  <si>
    <t>4.1 Ficha Final</t>
  </si>
  <si>
    <t>Sofia (Especificadora)</t>
  </si>
  <si>
    <t>4.2 Explosión</t>
  </si>
  <si>
    <t>Andrés (Consumos)</t>
  </si>
  <si>
    <t>4.3 SAP</t>
  </si>
  <si>
    <t>Patricia (SAP)</t>
  </si>
  <si>
    <t>ID Novedad</t>
  </si>
  <si>
    <t>Área de Afectación</t>
  </si>
  <si>
    <t>Responsable</t>
  </si>
  <si>
    <t>Subfase</t>
  </si>
  <si>
    <t>Fecha Evento</t>
  </si>
  <si>
    <t>Tipo de Novedad</t>
  </si>
  <si>
    <t>Descripción Novedad</t>
  </si>
  <si>
    <t>Documento Relacionado</t>
  </si>
  <si>
    <t>Impacto Consumo</t>
  </si>
  <si>
    <t>Valor Consumo (m)</t>
  </si>
  <si>
    <t>Impacto Tiempo</t>
  </si>
  <si>
    <t>Valor Tiempo (días)</t>
  </si>
  <si>
    <t>Estado Aprobación</t>
  </si>
  <si>
    <t>Aprobador</t>
  </si>
  <si>
    <t>Observaciones</t>
  </si>
  <si>
    <t>Ajuste de consumo en XL</t>
  </si>
  <si>
    <t>Audaces_Rev2</t>
  </si>
  <si>
    <t>SÍ</t>
  </si>
  <si>
    <t>NO</t>
  </si>
  <si>
    <t>Optimizado para mejor yield</t>
  </si>
  <si>
    <t>Costuras desiguales en sisa</t>
  </si>
  <si>
    <t>Foto_Muestra_01</t>
  </si>
  <si>
    <t>Requirió reproceso en laboratorio</t>
  </si>
  <si>
    <t>Modificación de largo en cuello</t>
  </si>
  <si>
    <t>Sketch_V2</t>
  </si>
  <si>
    <t>PENDIENTE</t>
  </si>
  <si>
    <t>En revisión técnica</t>
  </si>
  <si>
    <t>Tela lucir reemplazada por similar</t>
  </si>
  <si>
    <t>Orden_Compras_548</t>
  </si>
  <si>
    <t>Disponibilidad de materia prima</t>
  </si>
  <si>
    <t>Escalado completado en todas las tallas</t>
  </si>
  <si>
    <t>Audaces_Final</t>
  </si>
  <si>
    <t>Listo para trazos definitivos</t>
  </si>
  <si>
    <t>Tela lucir en cuarentena de calidad</t>
  </si>
  <si>
    <t>Reporte_QC_120</t>
  </si>
  <si>
    <t>Espera análisis de lavabilidad</t>
  </si>
  <si>
    <t>Ficha técnica perfilada y aprobada</t>
  </si>
  <si>
    <t>FT_001_Chaqueta</t>
  </si>
  <si>
    <t>Asignado a María para moldería base</t>
  </si>
  <si>
    <t>Reajuste de insumos en confección</t>
  </si>
  <si>
    <t>Explosión_Ref6_v3</t>
  </si>
  <si>
    <t>Coordinar con SAP</t>
  </si>
  <si>
    <t>ID Asignación</t>
  </si>
  <si>
    <t>Responsable Asignado</t>
  </si>
  <si>
    <t>Fecha Inicio Planificada</t>
  </si>
  <si>
    <t>Fecha Entrega Planificada</t>
  </si>
  <si>
    <t>Fecha Inicio Real</t>
  </si>
  <si>
    <t>Fecha Entrega Real</t>
  </si>
  <si>
    <t>Estado Subfase</t>
  </si>
  <si>
    <t>% Progreso</t>
  </si>
  <si>
    <t>Bloqueador</t>
  </si>
  <si>
    <t>COMPLETADA</t>
  </si>
  <si>
    <t>SÍ - Espera tela</t>
  </si>
  <si>
    <t>2026-04-30</t>
  </si>
  <si>
    <t>NO_INICIADA</t>
  </si>
  <si>
    <t>ID Validación</t>
  </si>
  <si>
    <t>Punto de Control</t>
  </si>
  <si>
    <t>Validador</t>
  </si>
  <si>
    <t>Fecha Validación</t>
  </si>
  <si>
    <t>Resultado</t>
  </si>
  <si>
    <t>Requisito No Cumplido</t>
  </si>
  <si>
    <t>Evidencia/Documento</t>
  </si>
  <si>
    <t>P1: Perfilamiento completo</t>
  </si>
  <si>
    <t>✅ CUMPLE</t>
  </si>
  <si>
    <t>FT_001.pdf</t>
  </si>
  <si>
    <t>P2: Moldería Base OK</t>
  </si>
  <si>
    <t>Aprobada en primera medición</t>
  </si>
  <si>
    <t>Muestra_01.jpg</t>
  </si>
  <si>
    <t>P5: Medición 1 OK</t>
  </si>
  <si>
    <t>Medidas_01.xlsx</t>
  </si>
  <si>
    <t>P7: Consumo Técnico OK</t>
  </si>
  <si>
    <t>Optimizado con 15% de ahorro</t>
  </si>
  <si>
    <t>Audaces_Consumos.dxf</t>
  </si>
  <si>
    <t>P8: Trazos OK</t>
  </si>
  <si>
    <t>Trazos_Final.dxf</t>
  </si>
  <si>
    <t>2026-04-14</t>
  </si>
  <si>
    <t>FT_002.pdf</t>
  </si>
  <si>
    <t>P6: Escalado OK</t>
  </si>
  <si>
    <t>⚠️ CUMPLE_CON_OBS</t>
  </si>
  <si>
    <t>Escalado revisado, pequeño ajuste en manga L</t>
  </si>
  <si>
    <t>Validar con modelo</t>
  </si>
  <si>
    <t>Escalado_Blusa.dxf</t>
  </si>
  <si>
    <t>2026-04-13</t>
  </si>
  <si>
    <t>FT_003.pdf</t>
  </si>
  <si>
    <t>P4: Confección Muestra OK</t>
  </si>
  <si>
    <t>❌ NO_CUMPLE</t>
  </si>
  <si>
    <t>Rechazo por costuras deficientes</t>
  </si>
  <si>
    <t>Repetir corte y confección</t>
  </si>
  <si>
    <t>Reporte_QC_456.pdf</t>
  </si>
  <si>
    <t>FT_004.pdf</t>
  </si>
  <si>
    <t>REPORTES Y DASHBOARDS</t>
  </si>
  <si>
    <t>5.1 ESTADO GENERAL</t>
  </si>
  <si>
    <t>Total Referencias:</t>
  </si>
  <si>
    <t>Total en Ideación:</t>
  </si>
  <si>
    <t>Total en Laboratorio:</t>
  </si>
  <si>
    <t>Total en Validación:</t>
  </si>
  <si>
    <t>Total en Industrialización:</t>
  </si>
  <si>
    <t>5.2 CARGA DE TRABAJO POR ÁREA</t>
  </si>
  <si>
    <t>Área</t>
  </si>
  <si>
    <t>Refs Activas</t>
  </si>
  <si>
    <t>Novedades</t>
  </si>
  <si>
    <t>Validaciones</t>
  </si>
  <si>
    <t>% Capacidad</t>
  </si>
  <si>
    <t>75%</t>
  </si>
  <si>
    <t>60%</t>
  </si>
  <si>
    <t>85%</t>
  </si>
  <si>
    <t>40%</t>
  </si>
  <si>
    <t>5.3 NOVEDADES POR TIPO</t>
  </si>
  <si>
    <t>Tipo Novedad</t>
  </si>
  <si>
    <t>Frecuencia</t>
  </si>
  <si>
    <t>Áreas</t>
  </si>
  <si>
    <t>Promedio Resolución (días)</t>
  </si>
  <si>
    <t>CREATIVA, INGENIERÍA</t>
  </si>
  <si>
    <t>INGENIERÍA, PRODUCCIÓN</t>
  </si>
  <si>
    <t>PRUEBA2.xlsx - GUÍA DE USO</t>
  </si>
  <si>
    <t>📋 ESTRUCTURA DEL ARCHIVO</t>
  </si>
  <si>
    <t>1. REFERENCIAS MAESTRO</t>
  </si>
  <si>
    <t>Identidad de cada referencia. Completar solo al crear una nueva prenda.</t>
  </si>
  <si>
    <t xml:space="preserve">   - Ref: Número secuencial único</t>
  </si>
  <si>
    <t xml:space="preserve">   - Código MD: Asignar en fase 1.1</t>
  </si>
  <si>
    <t xml:space="preserve">   - Código PT: Asignar cuando está APROBADO</t>
  </si>
  <si>
    <t xml:space="preserve">   - Fase Actual: Se actualiza automáticamente</t>
  </si>
  <si>
    <t>2. CONTROL DE NOVEDADES</t>
  </si>
  <si>
    <t>Registro de TODOS los cambios. Una fila = Un evento. Cualquier área puede alimentar.</t>
  </si>
  <si>
    <t xml:space="preserve">   - Tipo de Novedad: Seleccionar de lista desplegable</t>
  </si>
  <si>
    <t xml:space="preserve">   - Estado Aprobación: PENDIENTE, APROBADO, RECHAZADO</t>
  </si>
  <si>
    <t xml:space="preserve">   - Impacto: Registrar si afecta consumo o tiempo</t>
  </si>
  <si>
    <t>3. RESPONSABLES &amp; ASIGNACIONES</t>
  </si>
  <si>
    <t>Claridad de quién hace qué, cuándo y en qué estado.</t>
  </si>
  <si>
    <t xml:space="preserve">   - Subfase: Seleccionar de lista (1.1 a 4.3)</t>
  </si>
  <si>
    <t xml:space="preserve">   - % Progreso: Actualizar durante ejecución (0-100)</t>
  </si>
  <si>
    <t xml:space="preserve">   - Bloqueador: Indicar si hay obstáculo</t>
  </si>
  <si>
    <t>4. VALIDACIONES &amp; ENTREGABLES</t>
  </si>
  <si>
    <t>Checklist de calidad. Puntos de control antes de avanzar fase.</t>
  </si>
  <si>
    <t xml:space="preserve">   - Resultado: CUMPLE, CUMPLE_CON_OBS, NO_CUMPLE</t>
  </si>
  <si>
    <t xml:space="preserve">   - Evidencia: Adjuntar documento de soporte</t>
  </si>
  <si>
    <t>5. REPORTES DINÁMICOS</t>
  </si>
  <si>
    <t>Visibilidad ejecutiva. Se actualiza automáticamente con datos de otras hojas.</t>
  </si>
  <si>
    <t>🔐 REGLAS CRÍTICAS</t>
  </si>
  <si>
    <t xml:space="preserve">   R1: Status APROBADO requiere Código PT (no vacío)</t>
  </si>
  <si>
    <t xml:space="preserve">   R2: Si hay RECHAZO → Estado Subfase = PAUSADA</t>
  </si>
  <si>
    <t xml:space="preserve">   R3: % Progreso 100 → Estado Subfase = COMPLETADA</t>
  </si>
  <si>
    <t xml:space="preserve">   R4: Responsable debe estar en catálogo PARAMETROS</t>
  </si>
  <si>
    <t>👥 ÁREAS QUE ALIMENTAN DATOS</t>
  </si>
  <si>
    <t xml:space="preserve">   CREATIVA: Ficha técnica, consumos creativos, moldería</t>
  </si>
  <si>
    <t xml:space="preserve">   TALLER: Cortes, confecciones, procesos especiales</t>
  </si>
  <si>
    <t xml:space="preserve">   INGENIERÍA: Escalados, trazos, consumos técnicos</t>
  </si>
  <si>
    <t xml:space="preserve">   PRODUCCIÓN: Ficha final, explosión, nota SAP</t>
  </si>
  <si>
    <t>📊 CÓMO LEER LOS REPORTES</t>
  </si>
  <si>
    <t xml:space="preserve">   Tempeatura = Color indica fase actual (Azul/Ámbar/Naranja/Rojo)</t>
  </si>
  <si>
    <t xml:space="preserve">   % Cumple = Porcentaje de referencias que pasan validaciones</t>
  </si>
  <si>
    <t xml:space="preserve">   Bloqueadores = Lista de obstáculos por resolver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</si>
</sst>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2"/>
      <name val="Calibri"/>
    </font>
    <font>
      <b/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336633"/>
        <bgColor rgb="FF336633"/>
      </patternFill>
    </fill>
    <fill>
      <patternFill patternType="solid">
        <fgColor rgb="FF663333"/>
        <bgColor rgb="FF663333"/>
      </patternFill>
    </fill>
    <fill>
      <patternFill patternType="solid">
        <fgColor rgb="FF333366"/>
        <bgColor rgb="FF333366"/>
      </patternFill>
    </fill>
    <fill>
      <patternFill patternType="solid">
        <fgColor rgb="FFE8F4F8"/>
        <bgColor rgb="FFE8F4F8"/>
      </patternFill>
    </fill>
    <fill>
      <patternFill patternType="solid">
        <fgColor rgb="FFF4E8F8"/>
        <bgColor rgb="FFF4E8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4" fillId="0" borderId="0" xfId="0" applyFont="1"/>
    <xf numFmtId="0" fontId="1" fillId="6" borderId="0" xfId="0" applyFont="1" applyFill="1"/>
    <xf numFmtId="0" fontId="1" fillId="7" borderId="0" xfId="0" applyFont="1" applyFill="1"/>
    <xf numFmtId="0" fontId="5" fillId="2" borderId="0" xfId="0" applyFont="1" applyFill="1"/>
    <xf numFmtId="0" fontId="3" fillId="2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2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workbookViewId="0"/>
  </sheetViews>
  <sheetFormatPr baseColWidth="10" defaultColWidth="9.140625" defaultRowHeight="15" x14ac:dyDescent="0.25"/>
  <sheetData>
    <row r="1" spans="1:9" x14ac:dyDescent="0.25">
      <c r="A1" s="1" t="s">
        <v>86</v>
      </c>
      <c r="C1" s="1" t="s">
        <v>87</v>
      </c>
      <c r="E1" s="1" t="s">
        <v>88</v>
      </c>
      <c r="G1" s="1" t="s">
        <v>89</v>
      </c>
      <c r="I1" s="1" t="s">
        <v>90</v>
      </c>
    </row>
    <row r="2" spans="1:9" x14ac:dyDescent="0.25">
      <c r="A2" t="s">
        <v>66</v>
      </c>
      <c r="C2" t="s">
        <v>91</v>
      </c>
      <c r="E2" t="s">
        <v>92</v>
      </c>
      <c r="G2" t="s">
        <v>93</v>
      </c>
      <c r="I2" t="s">
        <v>18</v>
      </c>
    </row>
    <row r="3" spans="1:9" x14ac:dyDescent="0.25">
      <c r="A3" t="s">
        <v>27</v>
      </c>
      <c r="C3" t="s">
        <v>94</v>
      </c>
      <c r="E3" t="s">
        <v>95</v>
      </c>
      <c r="G3" t="s">
        <v>96</v>
      </c>
      <c r="I3" t="s">
        <v>71</v>
      </c>
    </row>
    <row r="4" spans="1:9" x14ac:dyDescent="0.25">
      <c r="A4" t="s">
        <v>47</v>
      </c>
      <c r="C4" t="s">
        <v>97</v>
      </c>
      <c r="E4" t="s">
        <v>98</v>
      </c>
      <c r="G4" t="s">
        <v>99</v>
      </c>
      <c r="I4" t="s">
        <v>100</v>
      </c>
    </row>
    <row r="5" spans="1:9" x14ac:dyDescent="0.25">
      <c r="A5" t="s">
        <v>101</v>
      </c>
      <c r="C5" t="s">
        <v>102</v>
      </c>
      <c r="E5" t="s">
        <v>103</v>
      </c>
      <c r="G5" t="s">
        <v>104</v>
      </c>
      <c r="I5" t="s">
        <v>105</v>
      </c>
    </row>
    <row r="6" spans="1:9" x14ac:dyDescent="0.25">
      <c r="A6" t="s">
        <v>106</v>
      </c>
      <c r="C6" t="s">
        <v>107</v>
      </c>
      <c r="G6" t="s">
        <v>108</v>
      </c>
      <c r="I6" t="s">
        <v>109</v>
      </c>
    </row>
    <row r="7" spans="1:9" x14ac:dyDescent="0.25">
      <c r="A7" t="s">
        <v>110</v>
      </c>
      <c r="C7" t="s">
        <v>111</v>
      </c>
      <c r="G7" t="s">
        <v>112</v>
      </c>
      <c r="I7" t="s">
        <v>113</v>
      </c>
    </row>
    <row r="8" spans="1:9" x14ac:dyDescent="0.25">
      <c r="A8" t="s">
        <v>114</v>
      </c>
      <c r="C8" t="s">
        <v>115</v>
      </c>
      <c r="G8" t="s">
        <v>116</v>
      </c>
    </row>
    <row r="9" spans="1:9" x14ac:dyDescent="0.25">
      <c r="A9" t="s">
        <v>117</v>
      </c>
      <c r="C9" t="s">
        <v>118</v>
      </c>
      <c r="G9" t="s">
        <v>119</v>
      </c>
    </row>
    <row r="10" spans="1:9" x14ac:dyDescent="0.25">
      <c r="A10" t="s">
        <v>120</v>
      </c>
      <c r="C10" t="s">
        <v>121</v>
      </c>
      <c r="G10" t="s">
        <v>122</v>
      </c>
    </row>
    <row r="11" spans="1:9" x14ac:dyDescent="0.25">
      <c r="A11" t="s">
        <v>123</v>
      </c>
      <c r="C11" t="s">
        <v>124</v>
      </c>
    </row>
    <row r="12" spans="1:9" x14ac:dyDescent="0.25">
      <c r="A12" t="s">
        <v>125</v>
      </c>
      <c r="C12" t="s">
        <v>126</v>
      </c>
    </row>
    <row r="13" spans="1:9" x14ac:dyDescent="0.25">
      <c r="A13" t="s">
        <v>127</v>
      </c>
      <c r="C13" t="s">
        <v>128</v>
      </c>
    </row>
    <row r="14" spans="1:9" x14ac:dyDescent="0.25">
      <c r="A14" t="s">
        <v>129</v>
      </c>
      <c r="C14" t="s">
        <v>130</v>
      </c>
    </row>
    <row r="15" spans="1:9" x14ac:dyDescent="0.25">
      <c r="A15" t="s">
        <v>131</v>
      </c>
      <c r="C15" t="s">
        <v>132</v>
      </c>
    </row>
    <row r="16" spans="1:9" x14ac:dyDescent="0.25">
      <c r="A16" t="s">
        <v>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"/>
  <sheetViews>
    <sheetView tabSelected="1" workbookViewId="0">
      <selection activeCell="G11" sqref="G11"/>
    </sheetView>
  </sheetViews>
  <sheetFormatPr baseColWidth="10" defaultColWidth="9.140625" defaultRowHeight="15" x14ac:dyDescent="0.25"/>
  <cols>
    <col min="1" max="1" width="8" customWidth="1"/>
    <col min="2" max="3" width="12" customWidth="1"/>
    <col min="4" max="6" width="15" customWidth="1"/>
    <col min="7" max="7" width="27.140625" customWidth="1"/>
    <col min="8" max="13" width="15" customWidth="1"/>
    <col min="14" max="14" width="26.5703125" customWidth="1"/>
    <col min="15" max="15" width="15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>
        <v>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>
        <v>2</v>
      </c>
      <c r="B3" t="s">
        <v>29</v>
      </c>
      <c r="C3" t="s">
        <v>30</v>
      </c>
      <c r="D3" t="s">
        <v>31</v>
      </c>
      <c r="E3" t="s">
        <v>18</v>
      </c>
      <c r="F3" t="s">
        <v>19</v>
      </c>
      <c r="G3" t="s">
        <v>20</v>
      </c>
      <c r="H3" t="s">
        <v>21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  <c r="N3" t="s">
        <v>27</v>
      </c>
      <c r="O3" t="s">
        <v>37</v>
      </c>
    </row>
    <row r="4" spans="1:15" x14ac:dyDescent="0.25">
      <c r="A4">
        <v>3</v>
      </c>
      <c r="B4" t="s">
        <v>38</v>
      </c>
      <c r="C4" t="s">
        <v>39</v>
      </c>
      <c r="D4" t="s">
        <v>40</v>
      </c>
      <c r="E4" t="s">
        <v>18</v>
      </c>
      <c r="F4" t="s">
        <v>19</v>
      </c>
      <c r="G4" t="s">
        <v>41</v>
      </c>
      <c r="H4" t="s">
        <v>42</v>
      </c>
      <c r="I4" t="s">
        <v>43</v>
      </c>
      <c r="J4" t="s">
        <v>44</v>
      </c>
      <c r="K4" t="s">
        <v>24</v>
      </c>
      <c r="L4" t="s">
        <v>45</v>
      </c>
      <c r="M4" t="s">
        <v>46</v>
      </c>
      <c r="N4" t="s">
        <v>47</v>
      </c>
      <c r="O4" t="s">
        <v>48</v>
      </c>
    </row>
    <row r="5" spans="1:15" x14ac:dyDescent="0.25">
      <c r="A5">
        <v>4</v>
      </c>
      <c r="B5" t="s">
        <v>49</v>
      </c>
      <c r="D5" t="s">
        <v>50</v>
      </c>
      <c r="E5" t="s">
        <v>18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  <c r="K5" t="s">
        <v>34</v>
      </c>
      <c r="L5" t="s">
        <v>56</v>
      </c>
      <c r="M5" t="s">
        <v>57</v>
      </c>
      <c r="N5" t="s">
        <v>27</v>
      </c>
      <c r="O5" t="s">
        <v>58</v>
      </c>
    </row>
    <row r="6" spans="1:15" x14ac:dyDescent="0.25">
      <c r="A6">
        <v>5</v>
      </c>
      <c r="B6" t="s">
        <v>59</v>
      </c>
      <c r="D6" t="s">
        <v>60</v>
      </c>
      <c r="E6" t="s">
        <v>18</v>
      </c>
      <c r="F6" t="s">
        <v>51</v>
      </c>
      <c r="G6" t="s">
        <v>61</v>
      </c>
      <c r="H6" t="s">
        <v>46</v>
      </c>
      <c r="I6" t="s">
        <v>62</v>
      </c>
      <c r="J6" t="s">
        <v>63</v>
      </c>
      <c r="K6" t="s">
        <v>24</v>
      </c>
      <c r="L6" t="s">
        <v>64</v>
      </c>
      <c r="M6" t="s">
        <v>65</v>
      </c>
      <c r="N6" t="s">
        <v>66</v>
      </c>
      <c r="O6" t="s">
        <v>67</v>
      </c>
    </row>
    <row r="7" spans="1:15" x14ac:dyDescent="0.25">
      <c r="A7">
        <v>6</v>
      </c>
      <c r="B7" t="s">
        <v>68</v>
      </c>
      <c r="C7" t="s">
        <v>69</v>
      </c>
      <c r="D7" t="s">
        <v>70</v>
      </c>
      <c r="E7" t="s">
        <v>71</v>
      </c>
      <c r="F7" t="s">
        <v>19</v>
      </c>
      <c r="G7" t="s">
        <v>20</v>
      </c>
      <c r="H7" t="s">
        <v>21</v>
      </c>
      <c r="I7" t="s">
        <v>22</v>
      </c>
      <c r="J7" t="s">
        <v>72</v>
      </c>
      <c r="K7" t="s">
        <v>24</v>
      </c>
      <c r="L7" t="s">
        <v>25</v>
      </c>
      <c r="M7" t="s">
        <v>73</v>
      </c>
      <c r="N7" t="s">
        <v>27</v>
      </c>
      <c r="O7" t="s">
        <v>74</v>
      </c>
    </row>
    <row r="8" spans="1:15" x14ac:dyDescent="0.25">
      <c r="A8">
        <v>7</v>
      </c>
      <c r="B8" t="s">
        <v>75</v>
      </c>
      <c r="D8" t="s">
        <v>76</v>
      </c>
      <c r="E8" t="s">
        <v>71</v>
      </c>
      <c r="F8" t="s">
        <v>51</v>
      </c>
      <c r="G8" t="s">
        <v>41</v>
      </c>
      <c r="H8" t="s">
        <v>42</v>
      </c>
      <c r="I8" t="s">
        <v>32</v>
      </c>
      <c r="J8" t="s">
        <v>77</v>
      </c>
      <c r="K8" t="s">
        <v>34</v>
      </c>
      <c r="L8" t="s">
        <v>78</v>
      </c>
      <c r="M8" t="s">
        <v>79</v>
      </c>
      <c r="N8" t="s">
        <v>47</v>
      </c>
      <c r="O8" t="s">
        <v>80</v>
      </c>
    </row>
    <row r="9" spans="1:15" x14ac:dyDescent="0.25">
      <c r="A9">
        <v>8</v>
      </c>
      <c r="B9" t="s">
        <v>81</v>
      </c>
      <c r="D9" t="s">
        <v>82</v>
      </c>
      <c r="E9" t="s">
        <v>71</v>
      </c>
      <c r="F9" t="s">
        <v>51</v>
      </c>
      <c r="G9" t="s">
        <v>52</v>
      </c>
      <c r="H9" t="s">
        <v>53</v>
      </c>
      <c r="I9" t="s">
        <v>43</v>
      </c>
      <c r="J9" t="s">
        <v>83</v>
      </c>
      <c r="K9" t="s">
        <v>24</v>
      </c>
      <c r="L9" t="s">
        <v>45</v>
      </c>
      <c r="M9" t="s">
        <v>84</v>
      </c>
      <c r="N9" t="s">
        <v>27</v>
      </c>
      <c r="O9" t="s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"/>
  <sheetViews>
    <sheetView workbookViewId="0">
      <selection activeCell="I10" sqref="I10"/>
    </sheetView>
  </sheetViews>
  <sheetFormatPr baseColWidth="10" defaultColWidth="9.140625" defaultRowHeight="15" x14ac:dyDescent="0.25"/>
  <cols>
    <col min="1" max="1" width="8.85546875" style="9" customWidth="1"/>
    <col min="2" max="2" width="6.42578125" customWidth="1"/>
    <col min="3" max="3" width="16" customWidth="1"/>
    <col min="4" max="4" width="17.5703125" customWidth="1"/>
    <col min="5" max="5" width="19.7109375" customWidth="1"/>
    <col min="6" max="6" width="12" customWidth="1"/>
    <col min="7" max="7" width="22.7109375" customWidth="1"/>
    <col min="8" max="8" width="35.140625" customWidth="1"/>
    <col min="9" max="9" width="20.28515625" customWidth="1"/>
    <col min="10" max="10" width="13" style="12" customWidth="1"/>
    <col min="11" max="11" width="13.5703125" style="12" customWidth="1"/>
    <col min="12" max="12" width="10.7109375" style="12" customWidth="1"/>
    <col min="13" max="13" width="13.5703125" style="12" customWidth="1"/>
    <col min="14" max="14" width="13.140625" style="12" customWidth="1"/>
    <col min="15" max="15" width="27" customWidth="1"/>
    <col min="16" max="16" width="33.7109375" customWidth="1"/>
  </cols>
  <sheetData>
    <row r="1" spans="1:16" s="11" customFormat="1" ht="30.75" customHeight="1" x14ac:dyDescent="0.25">
      <c r="A1" s="10" t="s">
        <v>134</v>
      </c>
      <c r="B1" s="10" t="s">
        <v>0</v>
      </c>
      <c r="C1" s="10" t="s">
        <v>135</v>
      </c>
      <c r="D1" s="10" t="s">
        <v>136</v>
      </c>
      <c r="E1" s="10" t="s">
        <v>137</v>
      </c>
      <c r="F1" s="10" t="s">
        <v>138</v>
      </c>
      <c r="G1" s="10" t="s">
        <v>139</v>
      </c>
      <c r="H1" s="10" t="s">
        <v>140</v>
      </c>
      <c r="I1" s="10" t="s">
        <v>141</v>
      </c>
      <c r="J1" s="10" t="s">
        <v>142</v>
      </c>
      <c r="K1" s="10" t="s">
        <v>143</v>
      </c>
      <c r="L1" s="10" t="s">
        <v>144</v>
      </c>
      <c r="M1" s="10" t="s">
        <v>145</v>
      </c>
      <c r="N1" s="10" t="s">
        <v>146</v>
      </c>
      <c r="O1" s="10" t="s">
        <v>147</v>
      </c>
      <c r="P1" s="10" t="s">
        <v>148</v>
      </c>
    </row>
    <row r="2" spans="1:16" x14ac:dyDescent="0.25">
      <c r="A2" s="9">
        <v>1</v>
      </c>
      <c r="B2">
        <v>1</v>
      </c>
      <c r="C2" t="s">
        <v>98</v>
      </c>
      <c r="D2" t="s">
        <v>123</v>
      </c>
      <c r="E2" t="s">
        <v>124</v>
      </c>
      <c r="F2" t="s">
        <v>28</v>
      </c>
      <c r="G2" t="s">
        <v>96</v>
      </c>
      <c r="H2" t="s">
        <v>149</v>
      </c>
      <c r="I2" t="s">
        <v>150</v>
      </c>
      <c r="J2" s="12" t="s">
        <v>151</v>
      </c>
      <c r="K2" s="12">
        <v>0.15</v>
      </c>
      <c r="L2" s="12" t="s">
        <v>152</v>
      </c>
      <c r="M2" s="12">
        <v>0</v>
      </c>
      <c r="N2" s="12" t="s">
        <v>19</v>
      </c>
      <c r="O2" t="s">
        <v>101</v>
      </c>
      <c r="P2" t="s">
        <v>153</v>
      </c>
    </row>
    <row r="3" spans="1:16" x14ac:dyDescent="0.25">
      <c r="A3" s="9">
        <v>2</v>
      </c>
      <c r="B3">
        <v>1</v>
      </c>
      <c r="C3" t="s">
        <v>95</v>
      </c>
      <c r="D3" t="s">
        <v>114</v>
      </c>
      <c r="E3" t="s">
        <v>111</v>
      </c>
      <c r="F3" t="s">
        <v>37</v>
      </c>
      <c r="G3" t="s">
        <v>104</v>
      </c>
      <c r="H3" t="s">
        <v>154</v>
      </c>
      <c r="I3" t="s">
        <v>155</v>
      </c>
      <c r="J3" s="12" t="s">
        <v>152</v>
      </c>
      <c r="K3" s="12">
        <v>0</v>
      </c>
      <c r="L3" s="12" t="s">
        <v>151</v>
      </c>
      <c r="M3" s="12">
        <v>2</v>
      </c>
      <c r="N3" s="12" t="s">
        <v>19</v>
      </c>
      <c r="O3" t="s">
        <v>47</v>
      </c>
      <c r="P3" t="s">
        <v>156</v>
      </c>
    </row>
    <row r="4" spans="1:16" x14ac:dyDescent="0.25">
      <c r="A4" s="9">
        <v>3</v>
      </c>
      <c r="B4">
        <v>2</v>
      </c>
      <c r="C4" t="s">
        <v>92</v>
      </c>
      <c r="D4" t="s">
        <v>27</v>
      </c>
      <c r="E4" t="s">
        <v>94</v>
      </c>
      <c r="F4" t="s">
        <v>37</v>
      </c>
      <c r="G4" t="s">
        <v>93</v>
      </c>
      <c r="H4" t="s">
        <v>157</v>
      </c>
      <c r="I4" t="s">
        <v>158</v>
      </c>
      <c r="J4" s="12" t="s">
        <v>151</v>
      </c>
      <c r="K4" s="12">
        <v>0.08</v>
      </c>
      <c r="L4" s="12" t="s">
        <v>151</v>
      </c>
      <c r="M4" s="12">
        <v>1</v>
      </c>
      <c r="N4" s="12" t="s">
        <v>159</v>
      </c>
      <c r="P4" t="s">
        <v>160</v>
      </c>
    </row>
    <row r="5" spans="1:16" x14ac:dyDescent="0.25">
      <c r="A5" s="9">
        <v>4</v>
      </c>
      <c r="B5">
        <v>3</v>
      </c>
      <c r="C5" t="s">
        <v>98</v>
      </c>
      <c r="D5" t="s">
        <v>125</v>
      </c>
      <c r="E5" t="s">
        <v>126</v>
      </c>
      <c r="F5" t="s">
        <v>48</v>
      </c>
      <c r="G5" t="s">
        <v>99</v>
      </c>
      <c r="H5" t="s">
        <v>161</v>
      </c>
      <c r="I5" t="s">
        <v>162</v>
      </c>
      <c r="J5" s="12" t="s">
        <v>152</v>
      </c>
      <c r="K5" s="12">
        <v>0</v>
      </c>
      <c r="L5" s="12" t="s">
        <v>152</v>
      </c>
      <c r="M5" s="12">
        <v>0</v>
      </c>
      <c r="N5" s="12" t="s">
        <v>19</v>
      </c>
      <c r="O5" t="s">
        <v>127</v>
      </c>
      <c r="P5" t="s">
        <v>163</v>
      </c>
    </row>
    <row r="6" spans="1:16" x14ac:dyDescent="0.25">
      <c r="A6" s="9">
        <v>5</v>
      </c>
      <c r="B6">
        <v>3</v>
      </c>
      <c r="C6" t="s">
        <v>98</v>
      </c>
      <c r="D6" t="s">
        <v>127</v>
      </c>
      <c r="E6" t="s">
        <v>124</v>
      </c>
      <c r="F6" t="s">
        <v>48</v>
      </c>
      <c r="G6" t="s">
        <v>122</v>
      </c>
      <c r="H6" t="s">
        <v>164</v>
      </c>
      <c r="I6" t="s">
        <v>165</v>
      </c>
      <c r="J6" s="12" t="s">
        <v>152</v>
      </c>
      <c r="K6" s="12">
        <v>0</v>
      </c>
      <c r="L6" s="12" t="s">
        <v>152</v>
      </c>
      <c r="M6" s="12">
        <v>0</v>
      </c>
      <c r="N6" s="12" t="s">
        <v>19</v>
      </c>
      <c r="O6" t="s">
        <v>123</v>
      </c>
      <c r="P6" t="s">
        <v>166</v>
      </c>
    </row>
    <row r="7" spans="1:16" x14ac:dyDescent="0.25">
      <c r="A7" s="9">
        <v>6</v>
      </c>
      <c r="B7">
        <v>4</v>
      </c>
      <c r="C7" t="s">
        <v>95</v>
      </c>
      <c r="D7" t="s">
        <v>106</v>
      </c>
      <c r="E7" t="s">
        <v>102</v>
      </c>
      <c r="F7" t="s">
        <v>58</v>
      </c>
      <c r="G7" t="s">
        <v>112</v>
      </c>
      <c r="H7" t="s">
        <v>167</v>
      </c>
      <c r="I7" t="s">
        <v>168</v>
      </c>
      <c r="J7" s="12" t="s">
        <v>152</v>
      </c>
      <c r="K7" s="12">
        <v>0</v>
      </c>
      <c r="L7" s="12" t="s">
        <v>151</v>
      </c>
      <c r="M7" s="12">
        <v>3</v>
      </c>
      <c r="N7" s="12" t="s">
        <v>19</v>
      </c>
      <c r="O7" t="s">
        <v>66</v>
      </c>
      <c r="P7" t="s">
        <v>169</v>
      </c>
    </row>
    <row r="8" spans="1:16" x14ac:dyDescent="0.25">
      <c r="A8" s="9">
        <v>7</v>
      </c>
      <c r="B8">
        <v>5</v>
      </c>
      <c r="C8" t="s">
        <v>92</v>
      </c>
      <c r="D8" t="s">
        <v>66</v>
      </c>
      <c r="E8" t="s">
        <v>91</v>
      </c>
      <c r="F8" t="s">
        <v>67</v>
      </c>
      <c r="G8" t="s">
        <v>122</v>
      </c>
      <c r="H8" t="s">
        <v>170</v>
      </c>
      <c r="I8" t="s">
        <v>171</v>
      </c>
      <c r="J8" s="12" t="s">
        <v>152</v>
      </c>
      <c r="K8" s="12">
        <v>0</v>
      </c>
      <c r="L8" s="12" t="s">
        <v>152</v>
      </c>
      <c r="M8" s="12">
        <v>0</v>
      </c>
      <c r="N8" s="12" t="s">
        <v>19</v>
      </c>
      <c r="O8" t="s">
        <v>101</v>
      </c>
      <c r="P8" t="s">
        <v>172</v>
      </c>
    </row>
    <row r="9" spans="1:16" x14ac:dyDescent="0.25">
      <c r="A9" s="9">
        <v>8</v>
      </c>
      <c r="B9">
        <v>6</v>
      </c>
      <c r="C9" t="s">
        <v>103</v>
      </c>
      <c r="D9" t="s">
        <v>131</v>
      </c>
      <c r="E9" t="s">
        <v>130</v>
      </c>
      <c r="F9" t="s">
        <v>74</v>
      </c>
      <c r="G9" t="s">
        <v>96</v>
      </c>
      <c r="H9" t="s">
        <v>173</v>
      </c>
      <c r="I9" t="s">
        <v>174</v>
      </c>
      <c r="J9" s="12" t="s">
        <v>151</v>
      </c>
      <c r="K9" s="12">
        <v>0.05</v>
      </c>
      <c r="L9" s="12" t="s">
        <v>152</v>
      </c>
      <c r="M9" s="12">
        <v>0</v>
      </c>
      <c r="N9" s="12" t="s">
        <v>19</v>
      </c>
      <c r="O9" t="s">
        <v>133</v>
      </c>
      <c r="P9" t="s">
        <v>175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"/>
  <sheetViews>
    <sheetView workbookViewId="0">
      <selection activeCell="K14" sqref="K14"/>
    </sheetView>
  </sheetViews>
  <sheetFormatPr baseColWidth="10" defaultColWidth="9.140625" defaultRowHeight="15" x14ac:dyDescent="0.25"/>
  <cols>
    <col min="1" max="1" width="11" style="9" customWidth="1"/>
    <col min="2" max="2" width="6.7109375" customWidth="1"/>
    <col min="3" max="3" width="16" customWidth="1"/>
    <col min="4" max="4" width="25.85546875" customWidth="1"/>
    <col min="5" max="5" width="13.28515625" customWidth="1"/>
    <col min="6" max="6" width="15" customWidth="1"/>
    <col min="7" max="7" width="12.140625" customWidth="1"/>
    <col min="8" max="8" width="12.42578125" customWidth="1"/>
    <col min="9" max="9" width="16" customWidth="1"/>
    <col min="10" max="10" width="12.42578125" style="12" customWidth="1"/>
    <col min="11" max="11" width="16" customWidth="1"/>
  </cols>
  <sheetData>
    <row r="1" spans="1:11" s="11" customFormat="1" ht="34.5" customHeight="1" x14ac:dyDescent="0.25">
      <c r="A1" s="13" t="s">
        <v>176</v>
      </c>
      <c r="B1" s="13" t="s">
        <v>0</v>
      </c>
      <c r="C1" s="13" t="s">
        <v>137</v>
      </c>
      <c r="D1" s="13" t="s">
        <v>177</v>
      </c>
      <c r="E1" s="13" t="s">
        <v>178</v>
      </c>
      <c r="F1" s="13" t="s">
        <v>179</v>
      </c>
      <c r="G1" s="13" t="s">
        <v>180</v>
      </c>
      <c r="H1" s="13" t="s">
        <v>181</v>
      </c>
      <c r="I1" s="13" t="s">
        <v>182</v>
      </c>
      <c r="J1" s="13" t="s">
        <v>183</v>
      </c>
      <c r="K1" s="13" t="s">
        <v>184</v>
      </c>
    </row>
    <row r="2" spans="1:11" x14ac:dyDescent="0.25">
      <c r="A2" s="9">
        <v>1</v>
      </c>
      <c r="B2">
        <v>1</v>
      </c>
      <c r="C2" t="s">
        <v>124</v>
      </c>
      <c r="D2" t="s">
        <v>123</v>
      </c>
      <c r="E2" t="s">
        <v>85</v>
      </c>
      <c r="F2" t="s">
        <v>48</v>
      </c>
      <c r="G2" t="s">
        <v>85</v>
      </c>
      <c r="H2" t="s">
        <v>48</v>
      </c>
      <c r="I2" t="s">
        <v>185</v>
      </c>
      <c r="J2" s="12">
        <v>100</v>
      </c>
      <c r="K2" t="s">
        <v>152</v>
      </c>
    </row>
    <row r="3" spans="1:11" x14ac:dyDescent="0.25">
      <c r="A3" s="9">
        <v>2</v>
      </c>
      <c r="B3">
        <v>1</v>
      </c>
      <c r="C3" t="s">
        <v>126</v>
      </c>
      <c r="D3" t="s">
        <v>127</v>
      </c>
      <c r="E3" t="s">
        <v>37</v>
      </c>
      <c r="F3" t="s">
        <v>28</v>
      </c>
      <c r="G3" t="s">
        <v>37</v>
      </c>
      <c r="H3" t="s">
        <v>28</v>
      </c>
      <c r="I3" t="s">
        <v>185</v>
      </c>
      <c r="J3" s="12">
        <v>100</v>
      </c>
      <c r="K3" t="s">
        <v>152</v>
      </c>
    </row>
    <row r="4" spans="1:11" x14ac:dyDescent="0.25">
      <c r="A4" s="9">
        <v>3</v>
      </c>
      <c r="B4">
        <v>1</v>
      </c>
      <c r="C4" t="s">
        <v>128</v>
      </c>
      <c r="D4" t="s">
        <v>129</v>
      </c>
      <c r="E4" t="s">
        <v>58</v>
      </c>
      <c r="F4" t="s">
        <v>67</v>
      </c>
      <c r="G4" t="s">
        <v>58</v>
      </c>
      <c r="I4" t="s">
        <v>51</v>
      </c>
      <c r="J4" s="12">
        <v>50</v>
      </c>
      <c r="K4" t="s">
        <v>152</v>
      </c>
    </row>
    <row r="5" spans="1:11" x14ac:dyDescent="0.25">
      <c r="A5" s="9">
        <v>4</v>
      </c>
      <c r="B5">
        <v>2</v>
      </c>
      <c r="C5" t="s">
        <v>118</v>
      </c>
      <c r="D5" t="s">
        <v>101</v>
      </c>
      <c r="E5" t="s">
        <v>85</v>
      </c>
      <c r="F5" t="s">
        <v>80</v>
      </c>
      <c r="G5" t="s">
        <v>85</v>
      </c>
      <c r="H5" t="s">
        <v>80</v>
      </c>
      <c r="I5" t="s">
        <v>185</v>
      </c>
      <c r="J5" s="12">
        <v>100</v>
      </c>
      <c r="K5" t="s">
        <v>152</v>
      </c>
    </row>
    <row r="6" spans="1:11" x14ac:dyDescent="0.25">
      <c r="A6" s="9">
        <v>5</v>
      </c>
      <c r="B6">
        <v>2</v>
      </c>
      <c r="C6" t="s">
        <v>124</v>
      </c>
      <c r="D6" t="s">
        <v>125</v>
      </c>
      <c r="E6" t="s">
        <v>74</v>
      </c>
      <c r="F6" t="s">
        <v>37</v>
      </c>
      <c r="G6" t="s">
        <v>74</v>
      </c>
      <c r="I6" t="s">
        <v>51</v>
      </c>
      <c r="J6" s="12">
        <v>75</v>
      </c>
      <c r="K6" t="s">
        <v>152</v>
      </c>
    </row>
    <row r="7" spans="1:11" x14ac:dyDescent="0.25">
      <c r="A7" s="9">
        <v>6</v>
      </c>
      <c r="B7">
        <v>3</v>
      </c>
      <c r="C7" t="s">
        <v>121</v>
      </c>
      <c r="D7" t="s">
        <v>47</v>
      </c>
      <c r="E7" t="s">
        <v>80</v>
      </c>
      <c r="F7" t="s">
        <v>74</v>
      </c>
      <c r="G7" t="s">
        <v>80</v>
      </c>
      <c r="H7" t="s">
        <v>74</v>
      </c>
      <c r="I7" t="s">
        <v>185</v>
      </c>
      <c r="J7" s="12">
        <v>100</v>
      </c>
      <c r="K7" t="s">
        <v>152</v>
      </c>
    </row>
    <row r="8" spans="1:11" x14ac:dyDescent="0.25">
      <c r="A8" s="9">
        <v>7</v>
      </c>
      <c r="B8">
        <v>4</v>
      </c>
      <c r="C8" t="s">
        <v>107</v>
      </c>
      <c r="D8" t="s">
        <v>110</v>
      </c>
      <c r="E8" t="s">
        <v>58</v>
      </c>
      <c r="F8" t="s">
        <v>67</v>
      </c>
      <c r="G8" t="s">
        <v>58</v>
      </c>
      <c r="I8" t="s">
        <v>51</v>
      </c>
      <c r="J8" s="12">
        <v>30</v>
      </c>
      <c r="K8" t="s">
        <v>186</v>
      </c>
    </row>
    <row r="9" spans="1:11" x14ac:dyDescent="0.25">
      <c r="A9" s="9">
        <v>8</v>
      </c>
      <c r="B9">
        <v>5</v>
      </c>
      <c r="C9" t="s">
        <v>97</v>
      </c>
      <c r="D9" t="s">
        <v>47</v>
      </c>
      <c r="E9" t="s">
        <v>67</v>
      </c>
      <c r="F9" t="s">
        <v>187</v>
      </c>
      <c r="I9" t="s">
        <v>188</v>
      </c>
      <c r="J9" s="12">
        <v>0</v>
      </c>
      <c r="K9" t="s">
        <v>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1"/>
  <sheetViews>
    <sheetView workbookViewId="0">
      <selection activeCell="E16" sqref="E16"/>
    </sheetView>
  </sheetViews>
  <sheetFormatPr baseColWidth="10" defaultColWidth="9.140625" defaultRowHeight="15" x14ac:dyDescent="0.25"/>
  <cols>
    <col min="1" max="1" width="12" style="9" customWidth="1"/>
    <col min="2" max="2" width="8.85546875" style="12" customWidth="1"/>
    <col min="3" max="4" width="27.7109375" customWidth="1"/>
    <col min="5" max="5" width="16" customWidth="1"/>
    <col min="6" max="6" width="22" customWidth="1"/>
    <col min="7" max="7" width="38" customWidth="1"/>
    <col min="8" max="8" width="24.140625" customWidth="1"/>
    <col min="9" max="9" width="22.85546875" customWidth="1"/>
  </cols>
  <sheetData>
    <row r="1" spans="1:9" s="11" customFormat="1" ht="25.5" customHeight="1" x14ac:dyDescent="0.25">
      <c r="A1" s="14" t="s">
        <v>189</v>
      </c>
      <c r="B1" s="14" t="s">
        <v>0</v>
      </c>
      <c r="C1" s="14" t="s">
        <v>190</v>
      </c>
      <c r="D1" s="14" t="s">
        <v>191</v>
      </c>
      <c r="E1" s="14" t="s">
        <v>192</v>
      </c>
      <c r="F1" s="14" t="s">
        <v>193</v>
      </c>
      <c r="G1" s="14" t="s">
        <v>148</v>
      </c>
      <c r="H1" s="14" t="s">
        <v>194</v>
      </c>
      <c r="I1" s="14" t="s">
        <v>195</v>
      </c>
    </row>
    <row r="2" spans="1:9" x14ac:dyDescent="0.25">
      <c r="A2" s="9">
        <v>1</v>
      </c>
      <c r="B2" s="12">
        <v>1</v>
      </c>
      <c r="C2" t="s">
        <v>196</v>
      </c>
      <c r="D2" t="s">
        <v>66</v>
      </c>
      <c r="E2" t="s">
        <v>85</v>
      </c>
      <c r="F2" t="s">
        <v>197</v>
      </c>
      <c r="I2" t="s">
        <v>198</v>
      </c>
    </row>
    <row r="3" spans="1:9" x14ac:dyDescent="0.25">
      <c r="A3" s="9">
        <v>2</v>
      </c>
      <c r="B3" s="12">
        <v>1</v>
      </c>
      <c r="C3" t="s">
        <v>199</v>
      </c>
      <c r="D3" t="s">
        <v>101</v>
      </c>
      <c r="E3" t="s">
        <v>80</v>
      </c>
      <c r="F3" t="s">
        <v>197</v>
      </c>
      <c r="G3" t="s">
        <v>200</v>
      </c>
      <c r="I3" t="s">
        <v>201</v>
      </c>
    </row>
    <row r="4" spans="1:9" x14ac:dyDescent="0.25">
      <c r="A4" s="9">
        <v>3</v>
      </c>
      <c r="B4" s="12">
        <v>1</v>
      </c>
      <c r="C4" t="s">
        <v>202</v>
      </c>
      <c r="D4" t="s">
        <v>101</v>
      </c>
      <c r="E4" t="s">
        <v>74</v>
      </c>
      <c r="F4" t="s">
        <v>197</v>
      </c>
      <c r="I4" t="s">
        <v>203</v>
      </c>
    </row>
    <row r="5" spans="1:9" x14ac:dyDescent="0.25">
      <c r="A5" s="9">
        <v>4</v>
      </c>
      <c r="B5" s="12">
        <v>1</v>
      </c>
      <c r="C5" t="s">
        <v>204</v>
      </c>
      <c r="D5" t="s">
        <v>123</v>
      </c>
      <c r="E5" t="s">
        <v>48</v>
      </c>
      <c r="F5" t="s">
        <v>197</v>
      </c>
      <c r="G5" t="s">
        <v>205</v>
      </c>
      <c r="I5" t="s">
        <v>206</v>
      </c>
    </row>
    <row r="6" spans="1:9" x14ac:dyDescent="0.25">
      <c r="A6" s="9">
        <v>5</v>
      </c>
      <c r="B6" s="12">
        <v>1</v>
      </c>
      <c r="C6" t="s">
        <v>207</v>
      </c>
      <c r="D6" t="s">
        <v>127</v>
      </c>
      <c r="E6" t="s">
        <v>28</v>
      </c>
      <c r="F6" t="s">
        <v>197</v>
      </c>
      <c r="I6" t="s">
        <v>208</v>
      </c>
    </row>
    <row r="7" spans="1:9" x14ac:dyDescent="0.25">
      <c r="A7" s="9">
        <v>6</v>
      </c>
      <c r="B7" s="12">
        <v>2</v>
      </c>
      <c r="C7" t="s">
        <v>196</v>
      </c>
      <c r="D7" t="s">
        <v>66</v>
      </c>
      <c r="E7" t="s">
        <v>209</v>
      </c>
      <c r="F7" t="s">
        <v>197</v>
      </c>
      <c r="I7" t="s">
        <v>210</v>
      </c>
    </row>
    <row r="8" spans="1:9" x14ac:dyDescent="0.25">
      <c r="A8" s="9">
        <v>7</v>
      </c>
      <c r="B8" s="12">
        <v>2</v>
      </c>
      <c r="C8" t="s">
        <v>211</v>
      </c>
      <c r="D8" t="s">
        <v>125</v>
      </c>
      <c r="E8" t="s">
        <v>48</v>
      </c>
      <c r="F8" t="s">
        <v>212</v>
      </c>
      <c r="G8" t="s">
        <v>213</v>
      </c>
      <c r="H8" t="s">
        <v>214</v>
      </c>
      <c r="I8" t="s">
        <v>215</v>
      </c>
    </row>
    <row r="9" spans="1:9" x14ac:dyDescent="0.25">
      <c r="A9" s="9">
        <v>8</v>
      </c>
      <c r="B9" s="12">
        <v>3</v>
      </c>
      <c r="C9" t="s">
        <v>196</v>
      </c>
      <c r="D9" t="s">
        <v>66</v>
      </c>
      <c r="E9" t="s">
        <v>216</v>
      </c>
      <c r="F9" t="s">
        <v>197</v>
      </c>
      <c r="I9" t="s">
        <v>217</v>
      </c>
    </row>
    <row r="10" spans="1:9" x14ac:dyDescent="0.25">
      <c r="A10" s="9">
        <v>9</v>
      </c>
      <c r="B10" s="12">
        <v>3</v>
      </c>
      <c r="C10" t="s">
        <v>218</v>
      </c>
      <c r="D10" t="s">
        <v>114</v>
      </c>
      <c r="E10" t="s">
        <v>74</v>
      </c>
      <c r="F10" t="s">
        <v>219</v>
      </c>
      <c r="G10" t="s">
        <v>220</v>
      </c>
      <c r="H10" t="s">
        <v>221</v>
      </c>
      <c r="I10" t="s">
        <v>222</v>
      </c>
    </row>
    <row r="11" spans="1:9" x14ac:dyDescent="0.25">
      <c r="A11" s="9">
        <v>10</v>
      </c>
      <c r="B11" s="12">
        <v>4</v>
      </c>
      <c r="C11" t="s">
        <v>196</v>
      </c>
      <c r="D11" t="s">
        <v>66</v>
      </c>
      <c r="E11" t="s">
        <v>58</v>
      </c>
      <c r="F11" t="s">
        <v>197</v>
      </c>
      <c r="I11" t="s">
        <v>223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4"/>
  <sheetViews>
    <sheetView workbookViewId="0">
      <selection activeCell="C20" sqref="C20"/>
    </sheetView>
  </sheetViews>
  <sheetFormatPr baseColWidth="10" defaultColWidth="9.140625" defaultRowHeight="15" x14ac:dyDescent="0.25"/>
  <cols>
    <col min="1" max="1" width="25" customWidth="1"/>
    <col min="2" max="2" width="15" customWidth="1"/>
    <col min="3" max="4" width="25" customWidth="1"/>
    <col min="5" max="5" width="18" customWidth="1"/>
  </cols>
  <sheetData>
    <row r="1" spans="1:6" ht="18.75" x14ac:dyDescent="0.3">
      <c r="A1" s="7" t="s">
        <v>224</v>
      </c>
      <c r="B1" s="8"/>
      <c r="C1" s="8"/>
      <c r="D1" s="8"/>
      <c r="E1" s="8"/>
      <c r="F1" s="8"/>
    </row>
    <row r="3" spans="1:6" ht="15.75" x14ac:dyDescent="0.25">
      <c r="A3" s="3" t="s">
        <v>225</v>
      </c>
    </row>
    <row r="4" spans="1:6" x14ac:dyDescent="0.25">
      <c r="A4" t="s">
        <v>226</v>
      </c>
      <c r="B4">
        <v>8</v>
      </c>
    </row>
    <row r="5" spans="1:6" x14ac:dyDescent="0.25">
      <c r="A5" t="s">
        <v>227</v>
      </c>
      <c r="B5">
        <f>COUNTIF(REFERENCIAS_MAESTRO!F:F,"EN_PROCESO") + COUNTIF(REFERENCIAS_MAESTRO!G:G,"🔵 IDEACIÓN")</f>
        <v>5</v>
      </c>
    </row>
    <row r="6" spans="1:6" x14ac:dyDescent="0.25">
      <c r="A6" t="s">
        <v>228</v>
      </c>
      <c r="B6">
        <f>COUNTIF(REFERENCIAS_MAESTRO!G:G,"🟡 LABORATORIO")</f>
        <v>2</v>
      </c>
    </row>
    <row r="7" spans="1:6" x14ac:dyDescent="0.25">
      <c r="A7" t="s">
        <v>229</v>
      </c>
      <c r="B7">
        <f>COUNTIF(REFERENCIAS_MAESTRO!G:G,"🟠 VALIDACIÓN TÉCNICA")</f>
        <v>2</v>
      </c>
    </row>
    <row r="8" spans="1:6" x14ac:dyDescent="0.25">
      <c r="A8" t="s">
        <v>230</v>
      </c>
      <c r="B8">
        <f>COUNTIF(REFERENCIAS_MAESTRO!G:G,"🔴 INDUSTRIALIZACIÓN")</f>
        <v>3</v>
      </c>
    </row>
    <row r="11" spans="1:6" ht="15.75" x14ac:dyDescent="0.25">
      <c r="A11" s="3" t="s">
        <v>231</v>
      </c>
    </row>
    <row r="12" spans="1:6" x14ac:dyDescent="0.25">
      <c r="A12" s="4" t="s">
        <v>232</v>
      </c>
      <c r="B12" s="4" t="s">
        <v>233</v>
      </c>
      <c r="C12" s="4" t="s">
        <v>234</v>
      </c>
      <c r="D12" s="4" t="s">
        <v>235</v>
      </c>
      <c r="E12" s="4" t="s">
        <v>236</v>
      </c>
    </row>
    <row r="13" spans="1:6" x14ac:dyDescent="0.25">
      <c r="A13" t="s">
        <v>92</v>
      </c>
      <c r="B13">
        <v>4</v>
      </c>
      <c r="C13">
        <v>3</v>
      </c>
      <c r="D13">
        <v>5</v>
      </c>
      <c r="E13" t="s">
        <v>237</v>
      </c>
    </row>
    <row r="14" spans="1:6" x14ac:dyDescent="0.25">
      <c r="A14" t="s">
        <v>95</v>
      </c>
      <c r="B14">
        <v>3</v>
      </c>
      <c r="C14">
        <v>2</v>
      </c>
      <c r="D14">
        <v>3</v>
      </c>
      <c r="E14" t="s">
        <v>238</v>
      </c>
    </row>
    <row r="15" spans="1:6" x14ac:dyDescent="0.25">
      <c r="A15" t="s">
        <v>98</v>
      </c>
      <c r="B15">
        <v>5</v>
      </c>
      <c r="C15">
        <v>2</v>
      </c>
      <c r="D15">
        <v>4</v>
      </c>
      <c r="E15" t="s">
        <v>239</v>
      </c>
    </row>
    <row r="16" spans="1:6" x14ac:dyDescent="0.25">
      <c r="A16" t="s">
        <v>103</v>
      </c>
      <c r="B16">
        <v>2</v>
      </c>
      <c r="C16">
        <v>1</v>
      </c>
      <c r="D16">
        <v>2</v>
      </c>
      <c r="E16" t="s">
        <v>240</v>
      </c>
    </row>
    <row r="18" spans="1:4" ht="15.75" x14ac:dyDescent="0.25">
      <c r="A18" s="3" t="s">
        <v>241</v>
      </c>
    </row>
    <row r="19" spans="1:4" x14ac:dyDescent="0.25">
      <c r="A19" s="5" t="s">
        <v>242</v>
      </c>
      <c r="B19" s="5" t="s">
        <v>243</v>
      </c>
      <c r="C19" s="5" t="s">
        <v>244</v>
      </c>
      <c r="D19" s="5" t="s">
        <v>245</v>
      </c>
    </row>
    <row r="20" spans="1:4" x14ac:dyDescent="0.25">
      <c r="A20" t="s">
        <v>93</v>
      </c>
      <c r="B20">
        <v>2</v>
      </c>
      <c r="C20" t="s">
        <v>246</v>
      </c>
      <c r="D20">
        <v>1.5</v>
      </c>
    </row>
    <row r="21" spans="1:4" x14ac:dyDescent="0.25">
      <c r="A21" t="s">
        <v>96</v>
      </c>
      <c r="B21">
        <v>2</v>
      </c>
      <c r="C21" t="s">
        <v>247</v>
      </c>
      <c r="D21">
        <v>1</v>
      </c>
    </row>
    <row r="22" spans="1:4" x14ac:dyDescent="0.25">
      <c r="A22" t="s">
        <v>104</v>
      </c>
      <c r="B22">
        <v>1</v>
      </c>
      <c r="C22" t="s">
        <v>95</v>
      </c>
      <c r="D22">
        <v>3</v>
      </c>
    </row>
    <row r="23" spans="1:4" x14ac:dyDescent="0.25">
      <c r="A23" t="s">
        <v>112</v>
      </c>
      <c r="B23">
        <v>1</v>
      </c>
      <c r="C23" t="s">
        <v>95</v>
      </c>
      <c r="D23">
        <v>3</v>
      </c>
    </row>
    <row r="24" spans="1:4" x14ac:dyDescent="0.25">
      <c r="A24" t="s">
        <v>122</v>
      </c>
      <c r="B24">
        <v>2</v>
      </c>
      <c r="C24" t="s">
        <v>98</v>
      </c>
      <c r="D24">
        <v>0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2"/>
  <sheetViews>
    <sheetView topLeftCell="A13" workbookViewId="0"/>
  </sheetViews>
  <sheetFormatPr baseColWidth="10" defaultColWidth="9.140625" defaultRowHeight="15" x14ac:dyDescent="0.25"/>
  <cols>
    <col min="1" max="1" width="40" customWidth="1"/>
    <col min="2" max="2" width="50" customWidth="1"/>
  </cols>
  <sheetData>
    <row r="1" spans="1:2" x14ac:dyDescent="0.25">
      <c r="A1" t="s">
        <v>248</v>
      </c>
    </row>
    <row r="3" spans="1:2" x14ac:dyDescent="0.25">
      <c r="A3" t="s">
        <v>249</v>
      </c>
    </row>
    <row r="5" spans="1:2" x14ac:dyDescent="0.25">
      <c r="A5" s="6" t="s">
        <v>250</v>
      </c>
      <c r="B5" t="s">
        <v>251</v>
      </c>
    </row>
    <row r="6" spans="1:2" x14ac:dyDescent="0.25">
      <c r="A6" t="s">
        <v>252</v>
      </c>
    </row>
    <row r="7" spans="1:2" x14ac:dyDescent="0.25">
      <c r="A7" t="s">
        <v>253</v>
      </c>
    </row>
    <row r="8" spans="1:2" x14ac:dyDescent="0.25">
      <c r="A8" t="s">
        <v>254</v>
      </c>
    </row>
    <row r="9" spans="1:2" x14ac:dyDescent="0.25">
      <c r="A9" t="s">
        <v>255</v>
      </c>
    </row>
    <row r="11" spans="1:2" x14ac:dyDescent="0.25">
      <c r="A11" s="6" t="s">
        <v>256</v>
      </c>
      <c r="B11" t="s">
        <v>257</v>
      </c>
    </row>
    <row r="12" spans="1:2" x14ac:dyDescent="0.25">
      <c r="A12" t="s">
        <v>258</v>
      </c>
    </row>
    <row r="13" spans="1:2" x14ac:dyDescent="0.25">
      <c r="A13" t="s">
        <v>259</v>
      </c>
    </row>
    <row r="14" spans="1:2" x14ac:dyDescent="0.25">
      <c r="A14" t="s">
        <v>260</v>
      </c>
    </row>
    <row r="16" spans="1:2" x14ac:dyDescent="0.25">
      <c r="A16" s="6" t="s">
        <v>261</v>
      </c>
      <c r="B16" t="s">
        <v>262</v>
      </c>
    </row>
    <row r="17" spans="1:2" x14ac:dyDescent="0.25">
      <c r="A17" t="s">
        <v>263</v>
      </c>
    </row>
    <row r="18" spans="1:2" x14ac:dyDescent="0.25">
      <c r="A18" t="s">
        <v>264</v>
      </c>
    </row>
    <row r="19" spans="1:2" x14ac:dyDescent="0.25">
      <c r="A19" t="s">
        <v>265</v>
      </c>
    </row>
    <row r="21" spans="1:2" x14ac:dyDescent="0.25">
      <c r="A21" s="6" t="s">
        <v>266</v>
      </c>
      <c r="B21" t="s">
        <v>267</v>
      </c>
    </row>
    <row r="22" spans="1:2" x14ac:dyDescent="0.25">
      <c r="A22" t="s">
        <v>268</v>
      </c>
    </row>
    <row r="23" spans="1:2" x14ac:dyDescent="0.25">
      <c r="A23" t="s">
        <v>269</v>
      </c>
    </row>
    <row r="25" spans="1:2" x14ac:dyDescent="0.25">
      <c r="A25" s="6" t="s">
        <v>270</v>
      </c>
      <c r="B25" t="s">
        <v>271</v>
      </c>
    </row>
    <row r="27" spans="1:2" x14ac:dyDescent="0.25">
      <c r="A27" t="s">
        <v>272</v>
      </c>
    </row>
    <row r="28" spans="1:2" x14ac:dyDescent="0.25">
      <c r="A28" t="s">
        <v>273</v>
      </c>
    </row>
    <row r="29" spans="1:2" x14ac:dyDescent="0.25">
      <c r="A29" t="s">
        <v>274</v>
      </c>
    </row>
    <row r="30" spans="1:2" x14ac:dyDescent="0.25">
      <c r="A30" t="s">
        <v>275</v>
      </c>
    </row>
    <row r="31" spans="1:2" x14ac:dyDescent="0.25">
      <c r="A31" t="s">
        <v>276</v>
      </c>
    </row>
    <row r="33" spans="1:1" x14ac:dyDescent="0.25">
      <c r="A33" t="s">
        <v>277</v>
      </c>
    </row>
    <row r="34" spans="1:1" x14ac:dyDescent="0.25">
      <c r="A34" t="s">
        <v>278</v>
      </c>
    </row>
    <row r="35" spans="1:1" x14ac:dyDescent="0.25">
      <c r="A35" t="s">
        <v>279</v>
      </c>
    </row>
    <row r="36" spans="1:1" x14ac:dyDescent="0.25">
      <c r="A36" t="s">
        <v>280</v>
      </c>
    </row>
    <row r="37" spans="1:1" x14ac:dyDescent="0.25">
      <c r="A37" t="s">
        <v>281</v>
      </c>
    </row>
    <row r="39" spans="1:1" x14ac:dyDescent="0.25">
      <c r="A39" s="6" t="s">
        <v>282</v>
      </c>
    </row>
    <row r="40" spans="1:1" x14ac:dyDescent="0.25">
      <c r="A40" t="s">
        <v>283</v>
      </c>
    </row>
    <row r="41" spans="1:1" x14ac:dyDescent="0.25">
      <c r="A41" t="s">
        <v>284</v>
      </c>
    </row>
    <row r="42" spans="1:1" x14ac:dyDescent="0.25">
      <c r="A42" t="s">
        <v>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PARAMETROS</vt:lpstr>
      <vt:lpstr>REFERENCIAS_MAESTRO</vt:lpstr>
      <vt:lpstr>CONTROL_DE_NOVEDADES</vt:lpstr>
      <vt:lpstr>RESPONSABLES_ASIGNACIONES</vt:lpstr>
      <vt:lpstr>VALIDACIONES_ENTREGABLES</vt:lpstr>
      <vt:lpstr>REPORTES_DINÁMICOS</vt:lpstr>
      <vt:lpstr>GUÍA_DE_USO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sistemas JO</cp:lastModifiedBy>
  <dcterms:created xsi:type="dcterms:W3CDTF">2026-05-21T14:16:49Z</dcterms:created>
  <dcterms:modified xsi:type="dcterms:W3CDTF">2026-05-21T14:26:05Z</dcterms:modified>
</cp:coreProperties>
</file>