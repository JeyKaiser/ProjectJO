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hacon\Documents\JEFERSON STUDY\Analisis de secuencia de coleccion\version 2.0\"/>
    </mc:Choice>
  </mc:AlternateContent>
  <xr:revisionPtr revIDLastSave="0" documentId="13_ncr:1_{07532B9B-947D-4B54-9189-551D5296A0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RAMETROS" sheetId="1" r:id="rId1"/>
    <sheet name="MATRIZ_MAESTRA" sheetId="2" r:id="rId2"/>
    <sheet name="CONSUMO_MATERIALES" sheetId="3" r:id="rId3"/>
    <sheet name="COMPOSICION_MARQUILLAS" sheetId="4" r:id="rId4"/>
    <sheet name="CONTROL_CONTRAMUESTRAS" sheetId="5" r:id="rId5"/>
    <sheet name="CURVA_TALLAS" sheetId="6" r:id="rId6"/>
    <sheet name="REPORTES_DINAMICOS" sheetId="7" r:id="rId7"/>
  </sheets>
  <definedNames>
    <definedName name="_xlnm._FilterDatabase" localSheetId="3" hidden="1">COMPOSICION_MARQUILLAS!$A$1:$N$1</definedName>
    <definedName name="_xlnm._FilterDatabase" localSheetId="2" hidden="1">CONSUMO_MATERIALES!$A$1:$O$1</definedName>
    <definedName name="_xlnm._FilterDatabase" localSheetId="4" hidden="1">CONTROL_CONTRAMUESTRAS!$A$1:$R$1</definedName>
    <definedName name="_xlnm._FilterDatabase" localSheetId="5" hidden="1">CURVA_TALLAS!$A$1:$N$1</definedName>
    <definedName name="_xlnm._FilterDatabase" localSheetId="1" hidden="1">MATRIZ_MAESTRA!$A$1:$AS$1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/>
  <c r="N4" i="6"/>
  <c r="N3" i="6"/>
  <c r="N2" i="6"/>
  <c r="O4" i="3"/>
  <c r="N4" i="3"/>
  <c r="N3" i="3"/>
  <c r="O3" i="3" s="1"/>
  <c r="O2" i="3"/>
  <c r="N2" i="3"/>
</calcChain>
</file>

<file path=xl/sharedStrings.xml><?xml version="1.0" encoding="utf-8"?>
<sst xmlns="http://schemas.openxmlformats.org/spreadsheetml/2006/main" count="692" uniqueCount="525">
  <si>
    <t>STATUS</t>
  </si>
  <si>
    <t>DISEÑADORES CREATIVOS</t>
  </si>
  <si>
    <t>DISEÑADORES TÉCNICOS</t>
  </si>
  <si>
    <t>TRAZADORES</t>
  </si>
  <si>
    <t>MODISTAS</t>
  </si>
  <si>
    <t>LINEAS</t>
  </si>
  <si>
    <t>SUBLINEAS</t>
  </si>
  <si>
    <t>TIPOS REF</t>
  </si>
  <si>
    <t>TALLAJES</t>
  </si>
  <si>
    <t>USOS EN PRENDA</t>
  </si>
  <si>
    <t>BASES TEXTILES</t>
  </si>
  <si>
    <t>LARGOS</t>
  </si>
  <si>
    <t>SI/NO</t>
  </si>
  <si>
    <t>VEREDICTOS DIR. CREATIVA</t>
  </si>
  <si>
    <t>TIPO BORDADO</t>
  </si>
  <si>
    <t>TIPO PROCESO EXTERNO</t>
  </si>
  <si>
    <t>CATALOGACION</t>
  </si>
  <si>
    <t>COLECCIONES</t>
  </si>
  <si>
    <t>DROPS</t>
  </si>
  <si>
    <t>PRIORIDADES</t>
  </si>
  <si>
    <t>DIFICULTAD</t>
  </si>
  <si>
    <t>TIPO TEJIDO</t>
  </si>
  <si>
    <t>WOVEN/KNITTED</t>
  </si>
  <si>
    <t>TIPO CORTE</t>
  </si>
  <si>
    <t>STATUS PROCESO EXT.</t>
  </si>
  <si>
    <t>CONFECCION STATUS</t>
  </si>
  <si>
    <t>TIPO RECHAZO CALIDAD</t>
  </si>
  <si>
    <t>CLASIFICACION HALLAZGO</t>
  </si>
  <si>
    <t>TIPO EMPAQUE</t>
  </si>
  <si>
    <t>CLOSURE TYPES</t>
  </si>
  <si>
    <t>LINNED</t>
  </si>
  <si>
    <t>SENTIDO SESGO</t>
  </si>
  <si>
    <t>PERMITE GIRAR MOLDE</t>
  </si>
  <si>
    <t>APROBADO</t>
  </si>
  <si>
    <t>BURGOS</t>
  </si>
  <si>
    <t>CAMILA VILLEGAS</t>
  </si>
  <si>
    <t>KELLY MITROVICH</t>
  </si>
  <si>
    <t>ADRIANA ESCOBAR</t>
  </si>
  <si>
    <t>DRESSES</t>
  </si>
  <si>
    <t>ANKLE</t>
  </si>
  <si>
    <t>DS</t>
  </si>
  <si>
    <t>0-2-4-6-8-10-12</t>
  </si>
  <si>
    <t>TELA LUCIR</t>
  </si>
  <si>
    <t>-</t>
  </si>
  <si>
    <t>112 CM POSTERIOR: 95 CM</t>
  </si>
  <si>
    <t>SI</t>
  </si>
  <si>
    <t>APROBADA DIRECTA</t>
  </si>
  <si>
    <t>SOBRE PRENDA ARMADA</t>
  </si>
  <si>
    <t>LAVANDERIA</t>
  </si>
  <si>
    <t>SOLIDO</t>
  </si>
  <si>
    <t>WINTER SUN (WS27)</t>
  </si>
  <si>
    <t>A</t>
  </si>
  <si>
    <t>1</t>
  </si>
  <si>
    <t>BAJA</t>
  </si>
  <si>
    <t>TEJIDO PLANO</t>
  </si>
  <si>
    <t>WOVEN</t>
  </si>
  <si>
    <t>PRENDA COMPLETA</t>
  </si>
  <si>
    <t>PENDIENTE</t>
  </si>
  <si>
    <t>EN PROCESO</t>
  </si>
  <si>
    <t>MEDIDAS</t>
  </si>
  <si>
    <t>INCONSISTENCIAS</t>
  </si>
  <si>
    <t>CAJA INDIVIDUAL</t>
  </si>
  <si>
    <t>BACK ZIPPER</t>
  </si>
  <si>
    <t>AL HILO</t>
  </si>
  <si>
    <t>90°</t>
  </si>
  <si>
    <t>APROBADO REPROGRAMACION</t>
  </si>
  <si>
    <t>CLAUDIA</t>
  </si>
  <si>
    <t>CLAUDIA R</t>
  </si>
  <si>
    <t>ANDRES CORTADOR</t>
  </si>
  <si>
    <t>AISURY QUINTERO</t>
  </si>
  <si>
    <t>OUTWEAR</t>
  </si>
  <si>
    <t>BIKINI BOTTOM</t>
  </si>
  <si>
    <t>OW</t>
  </si>
  <si>
    <t>1-2-3-4-5-6</t>
  </si>
  <si>
    <t>TELA FORRO</t>
  </si>
  <si>
    <t>LINEN</t>
  </si>
  <si>
    <t>85 CM</t>
  </si>
  <si>
    <t>NO</t>
  </si>
  <si>
    <t>APROBADA CON COMENTARIOS</t>
  </si>
  <si>
    <t>SEMIELABORADO</t>
  </si>
  <si>
    <t>BORDADO</t>
  </si>
  <si>
    <t>MODIFICACION DE ARTE</t>
  </si>
  <si>
    <t>FALL WINTER (FW26)</t>
  </si>
  <si>
    <t>B</t>
  </si>
  <si>
    <t>2</t>
  </si>
  <si>
    <t>INTERMEDIA</t>
  </si>
  <si>
    <t>TEJIDO DE PUNTO</t>
  </si>
  <si>
    <t>KNITTED</t>
  </si>
  <si>
    <t>LABORATORIO</t>
  </si>
  <si>
    <t>TERMINADO</t>
  </si>
  <si>
    <t>CALIDAD DE CONFECCION</t>
  </si>
  <si>
    <t>FALTA DE INFORMACION</t>
  </si>
  <si>
    <t>BOLSA COLECTIVA</t>
  </si>
  <si>
    <t>BACK BUTTONS</t>
  </si>
  <si>
    <t>A TRAVEZ</t>
  </si>
  <si>
    <t>180°</t>
  </si>
  <si>
    <t>CANCELADO</t>
  </si>
  <si>
    <t>FER</t>
  </si>
  <si>
    <t>CRISTIAN GOMEZ</t>
  </si>
  <si>
    <t>FERNANDO TRAZO</t>
  </si>
  <si>
    <t>ALEJANDRA ROJAS</t>
  </si>
  <si>
    <t>PANTS</t>
  </si>
  <si>
    <t>BIKINI TOP</t>
  </si>
  <si>
    <t>PS</t>
  </si>
  <si>
    <t>2-4-6-8-10-12</t>
  </si>
  <si>
    <t>FUSIONABLE</t>
  </si>
  <si>
    <t>COTTON</t>
  </si>
  <si>
    <t>92 CM</t>
  </si>
  <si>
    <t>RECHAZADA</t>
  </si>
  <si>
    <t>AMBOS</t>
  </si>
  <si>
    <t>DRAPEADO</t>
  </si>
  <si>
    <t>UBICACION EN TRAZO</t>
  </si>
  <si>
    <t>RESORT RTW (RS26)</t>
  </si>
  <si>
    <t>C</t>
  </si>
  <si>
    <t>3</t>
  </si>
  <si>
    <t>ALTA</t>
  </si>
  <si>
    <t>CUERO</t>
  </si>
  <si>
    <t>PIEZA</t>
  </si>
  <si>
    <t>PAUSADO</t>
  </si>
  <si>
    <t>COHERENCIA CON FICHA TECNICA</t>
  </si>
  <si>
    <t>FALTANTES</t>
  </si>
  <si>
    <t>CAJA COLECTIVA</t>
  </si>
  <si>
    <t>BACK ZIPPER AND BUTTOM</t>
  </si>
  <si>
    <t>ONLY THE TOP</t>
  </si>
  <si>
    <t>AL SESGO</t>
  </si>
  <si>
    <t>PEINE</t>
  </si>
  <si>
    <t>CANCELADO CORTADO</t>
  </si>
  <si>
    <t>MARGARITA</t>
  </si>
  <si>
    <t>DANIELA GARCIA</t>
  </si>
  <si>
    <t>CIELO AGUIRRE</t>
  </si>
  <si>
    <t>SKIRTS</t>
  </si>
  <si>
    <t>CAPE</t>
  </si>
  <si>
    <t>SK</t>
  </si>
  <si>
    <t>XS-S-M-L-XL</t>
  </si>
  <si>
    <t>SESGOS LUCIR</t>
  </si>
  <si>
    <t>SILK</t>
  </si>
  <si>
    <t>ANKLE 95CM</t>
  </si>
  <si>
    <t>EN PRENDA</t>
  </si>
  <si>
    <t>DESCOLADO</t>
  </si>
  <si>
    <t>ALL OVER</t>
  </si>
  <si>
    <t>SPRING SUMMER (SS26)</t>
  </si>
  <si>
    <t>D</t>
  </si>
  <si>
    <t>4</t>
  </si>
  <si>
    <t>MUY ALTA</t>
  </si>
  <si>
    <t>DENIM</t>
  </si>
  <si>
    <t>REPOSICION</t>
  </si>
  <si>
    <t>RECHAZADO</t>
  </si>
  <si>
    <t>MATERIA PRIMA</t>
  </si>
  <si>
    <t>CAMBIOS</t>
  </si>
  <si>
    <t>BOLSA INDIVIDUAL</t>
  </si>
  <si>
    <t>SNAPS</t>
  </si>
  <si>
    <t>ONLY THE BOTTOM</t>
  </si>
  <si>
    <t>CANCELADO ES PERSONAL DE JO</t>
  </si>
  <si>
    <t>MARIA BURGOS</t>
  </si>
  <si>
    <t>FERNANDO</t>
  </si>
  <si>
    <t>DIANA ADARME</t>
  </si>
  <si>
    <t>SWIMWEAR</t>
  </si>
  <si>
    <t>COAT</t>
  </si>
  <si>
    <t>SW</t>
  </si>
  <si>
    <t>SESGOS FORRO</t>
  </si>
  <si>
    <t>WOOL</t>
  </si>
  <si>
    <t>FLATS 112CM</t>
  </si>
  <si>
    <t>EMBROIDERED STRAP EDGE</t>
  </si>
  <si>
    <t>TINTORERIA</t>
  </si>
  <si>
    <t>ALL OVER CON SENTIDO</t>
  </si>
  <si>
    <t>SUMMER VACATION (SV26)</t>
  </si>
  <si>
    <t>E</t>
  </si>
  <si>
    <t>5</t>
  </si>
  <si>
    <t>GASA</t>
  </si>
  <si>
    <t>REPOSICION CONTRAMUESTRA</t>
  </si>
  <si>
    <t>INSUMOS</t>
  </si>
  <si>
    <t>FALTA DE ANALISIS</t>
  </si>
  <si>
    <t>MARQUILLA SATINADA FORRADA</t>
  </si>
  <si>
    <t>WITH SASH</t>
  </si>
  <si>
    <t>N/A</t>
  </si>
  <si>
    <t>CANCELADO PAQUETE COMPLETO</t>
  </si>
  <si>
    <t>MARIA DEL MAR</t>
  </si>
  <si>
    <t>KAROLINE</t>
  </si>
  <si>
    <t>ENEIDA MACA</t>
  </si>
  <si>
    <t>TOPS</t>
  </si>
  <si>
    <t>CROP TOP</t>
  </si>
  <si>
    <t>TP</t>
  </si>
  <si>
    <t>SESGOS FUSIONABLE</t>
  </si>
  <si>
    <t>LYCRA</t>
  </si>
  <si>
    <t>FLATS MAXI 103</t>
  </si>
  <si>
    <t>EMBROIDERED AND EMBROIDERED STRAPS</t>
  </si>
  <si>
    <t>MONTAJE MANIQUI</t>
  </si>
  <si>
    <t>ALL OVER CON ORIENTACION</t>
  </si>
  <si>
    <t>PREFALL RTW (PF26)</t>
  </si>
  <si>
    <t>F</t>
  </si>
  <si>
    <t>6</t>
  </si>
  <si>
    <t>OTRO</t>
  </si>
  <si>
    <t>OTROS</t>
  </si>
  <si>
    <t>SIN EMPAQUE ESPECIAL</t>
  </si>
  <si>
    <t>CANCELADO POR COMERCIAL</t>
  </si>
  <si>
    <t>OSMAN</t>
  </si>
  <si>
    <t>KELLY M.</t>
  </si>
  <si>
    <t>FANNY GOMEZ</t>
  </si>
  <si>
    <t>JACKET</t>
  </si>
  <si>
    <t>ENTRETELA</t>
  </si>
  <si>
    <t>LYCRA VITA</t>
  </si>
  <si>
    <t>KIMONO 100 CM</t>
  </si>
  <si>
    <t>G</t>
  </si>
  <si>
    <t>7</t>
  </si>
  <si>
    <t>SIN CIERRE</t>
  </si>
  <si>
    <t>CANCELADO SIN CORTAR</t>
  </si>
  <si>
    <t>YAMILET</t>
  </si>
  <si>
    <t>LINA DELGADO</t>
  </si>
  <si>
    <t>ISABEL VALENCIA</t>
  </si>
  <si>
    <t>KIMONO</t>
  </si>
  <si>
    <t>CINTA</t>
  </si>
  <si>
    <t>LYCRA BAHIA</t>
  </si>
  <si>
    <t>MAXI 115CM</t>
  </si>
  <si>
    <t>H</t>
  </si>
  <si>
    <t>8</t>
  </si>
  <si>
    <t>MAXI</t>
  </si>
  <si>
    <t>RESORTE</t>
  </si>
  <si>
    <t>LYCRA CRINKLE</t>
  </si>
  <si>
    <t>I</t>
  </si>
  <si>
    <t>9</t>
  </si>
  <si>
    <t>JUST FOR SHOW</t>
  </si>
  <si>
    <t>MIDI</t>
  </si>
  <si>
    <t>HILO RESORTE</t>
  </si>
  <si>
    <t>COTTON JACQUARD</t>
  </si>
  <si>
    <t>J</t>
  </si>
  <si>
    <t>10</t>
  </si>
  <si>
    <t>MINI</t>
  </si>
  <si>
    <t>CIERRE</t>
  </si>
  <si>
    <t>PRINTED JACQUARD</t>
  </si>
  <si>
    <t>CASUAL</t>
  </si>
  <si>
    <t>ARGOLIA</t>
  </si>
  <si>
    <t>LEATHER</t>
  </si>
  <si>
    <t>BOLERO</t>
  </si>
  <si>
    <t>BOTON</t>
  </si>
  <si>
    <t>LIGHT LINEN</t>
  </si>
  <si>
    <t>DRAMATIC PANT</t>
  </si>
  <si>
    <t>VISCOSE</t>
  </si>
  <si>
    <t>POLYAMIDE</t>
  </si>
  <si>
    <t>POLYESTER</t>
  </si>
  <si>
    <t>TAFETA SEDA</t>
  </si>
  <si>
    <t>DUCHESS SATIN</t>
  </si>
  <si>
    <t>CREPE DE CHINE</t>
  </si>
  <si>
    <t>CREPE DE SEDA</t>
  </si>
  <si>
    <t>BROCADE JACQUARD</t>
  </si>
  <si>
    <t>CHARMEUSE</t>
  </si>
  <si>
    <t>COTTON MESH</t>
  </si>
  <si>
    <t>COTTON VELVET</t>
  </si>
  <si>
    <t>ID_Ref</t>
  </si>
  <si>
    <t>Cod_MD</t>
  </si>
  <si>
    <t>Cod_PT</t>
  </si>
  <si>
    <t>Nombre_Referencia</t>
  </si>
  <si>
    <t>Color</t>
  </si>
  <si>
    <t>Cod_Color</t>
  </si>
  <si>
    <t>Capsula/Drop</t>
  </si>
  <si>
    <t>Linea</t>
  </si>
  <si>
    <t>Sublínea</t>
  </si>
  <si>
    <t>Tipo_Ref</t>
  </si>
  <si>
    <t>Sistema_Tallaje</t>
  </si>
  <si>
    <t>Largo</t>
  </si>
  <si>
    <t>Closure</t>
  </si>
  <si>
    <t>Basado_En (Ref PT)</t>
  </si>
  <si>
    <t>Diseñador_Creativo</t>
  </si>
  <si>
    <t>Fecha_Asignacion_Creativo</t>
  </si>
  <si>
    <t>Cambio_Molderia (SI/NO)</t>
  </si>
  <si>
    <t>Obs_Creativo</t>
  </si>
  <si>
    <t>Fecha_Inicio_Molderia_Diseño</t>
  </si>
  <si>
    <t>Fecha_Fin_Molderia_Diseño</t>
  </si>
  <si>
    <t>Comentarios_Molderia_Diseño</t>
  </si>
  <si>
    <t>Modista_Muestra</t>
  </si>
  <si>
    <t>Status_Taller</t>
  </si>
  <si>
    <t>Fotos_Internas (SI/NO)</t>
  </si>
  <si>
    <t>Requiere_Muestra (SI/NO)</t>
  </si>
  <si>
    <t>Medicion_Fase_1 (Fecha)</t>
  </si>
  <si>
    <t>Comentarios_Medicion_1</t>
  </si>
  <si>
    <t>Veredicto_Dir_Creativa</t>
  </si>
  <si>
    <t>Diseñador_Tecnico</t>
  </si>
  <si>
    <t>Diseñador_Contramuestra</t>
  </si>
  <si>
    <t>Fecha_Inicio_Molderia_Ing</t>
  </si>
  <si>
    <t>Fecha_Fin_Molderia_Ing</t>
  </si>
  <si>
    <t>Comentarios_Molderia_Ing</t>
  </si>
  <si>
    <t>Especificadora</t>
  </si>
  <si>
    <t>Fecha_Inicio_Especificacion</t>
  </si>
  <si>
    <t>Fecha_Fin_Especificacion</t>
  </si>
  <si>
    <t>Status_Referencia</t>
  </si>
  <si>
    <t>Entregable_Creativo_OK?</t>
  </si>
  <si>
    <t>Entregable_Tecnico_OK?</t>
  </si>
  <si>
    <t>Entregable_Trazador_OK?</t>
  </si>
  <si>
    <t>Envio_Mod_Arte_OK?</t>
  </si>
  <si>
    <t>Fecha_Liberacion_Diseno_a_Ing</t>
  </si>
  <si>
    <t>Fecha_Liberacion_Ing_a_Prod</t>
  </si>
  <si>
    <t>Temperatura (Fase Actual)</t>
  </si>
  <si>
    <t>Observaciones_Generales</t>
  </si>
  <si>
    <t>MD-02801</t>
  </si>
  <si>
    <t>PT-02801</t>
  </si>
  <si>
    <t>Femininity Dramatic Dress</t>
  </si>
  <si>
    <t>Ecru</t>
  </si>
  <si>
    <t>COL-101</t>
  </si>
  <si>
    <t>PT-03402</t>
  </si>
  <si>
    <t>2026-04-15</t>
  </si>
  <si>
    <t>Estimacion inicial segun referente</t>
  </si>
  <si>
    <t>2026-04-16</t>
  </si>
  <si>
    <t>2026-04-18</t>
  </si>
  <si>
    <t>Molderia base OK en talla XS</t>
  </si>
  <si>
    <t>2026-04-20</t>
  </si>
  <si>
    <t>Aprobado de inmediato</t>
  </si>
  <si>
    <t>2026-04-22</t>
  </si>
  <si>
    <t>2026-04-25</t>
  </si>
  <si>
    <t>Escalado OK, ajuste menorencogimiento</t>
  </si>
  <si>
    <t>GABRIELA LOPEZ</t>
  </si>
  <si>
    <t>2026-04-26</t>
  </si>
  <si>
    <t>2026-04-28</t>
  </si>
  <si>
    <t>OK</t>
  </si>
  <si>
    <t>2026-04-21</t>
  </si>
  <si>
    <t>ROJO - INDUSTRIALIZACION</t>
  </si>
  <si>
    <t>Referencia completada, lista para produccion</t>
  </si>
  <si>
    <t>MD-02802</t>
  </si>
  <si>
    <t>PT-02803</t>
  </si>
  <si>
    <t>Sunset Vacation Panty</t>
  </si>
  <si>
    <t>Sand</t>
  </si>
  <si>
    <t>COL-102</t>
  </si>
  <si>
    <t>Cambio de largo +2cm</t>
  </si>
  <si>
    <t>2026-04-19</t>
  </si>
  <si>
    <t>Correccion de tiro delantero</t>
  </si>
  <si>
    <t>EN CONFECCION</t>
  </si>
  <si>
    <t>2026-04-24</t>
  </si>
  <si>
    <t>Ajustar pinza trasera</t>
  </si>
  <si>
    <t>Escalado en proceso - talla 12 compleja</t>
  </si>
  <si>
    <t>NARANJA - VALIDACION TECNICA</t>
  </si>
  <si>
    <t>Escalado pendiente en talla 12. Sin bloqueadores.</t>
  </si>
  <si>
    <t>MD-02815</t>
  </si>
  <si>
    <t>PT-02804</t>
  </si>
  <si>
    <t>Femininity Dramatic Dress V2</t>
  </si>
  <si>
    <t>Vanila</t>
  </si>
  <si>
    <t>COL-1591</t>
  </si>
  <si>
    <t>2026-05-02</t>
  </si>
  <si>
    <t>Modificacion completa de cuello y mangas</t>
  </si>
  <si>
    <t>2026-05-03</t>
  </si>
  <si>
    <t>2026-05-06</t>
  </si>
  <si>
    <t>Nuevo patron cuello drapeado</t>
  </si>
  <si>
    <t>EN CORTE</t>
  </si>
  <si>
    <t>AMBAR - LABORATORIO</t>
  </si>
  <si>
    <t>Esperando corte de muestra. Tela en cuarentena de calidad.</t>
  </si>
  <si>
    <t>MD-02824</t>
  </si>
  <si>
    <t>PT-02805</t>
  </si>
  <si>
    <t>Ocean Breeze Kimono</t>
  </si>
  <si>
    <t>Azure</t>
  </si>
  <si>
    <t>COL-201</t>
  </si>
  <si>
    <t>2026-05-05</t>
  </si>
  <si>
    <t>Coleccion nueva, sin referente</t>
  </si>
  <si>
    <t>Molderia base en desarrollo</t>
  </si>
  <si>
    <t>EN DISENO</t>
  </si>
  <si>
    <t>AZUL - IDEACION Y DISENO</t>
  </si>
  <si>
    <t>Referencia nueva, perfilando ficha tecnica.</t>
  </si>
  <si>
    <t>Tipo_Material</t>
  </si>
  <si>
    <t>Cod_Material_SAP</t>
  </si>
  <si>
    <t>Descripcion_Material</t>
  </si>
  <si>
    <t>Ancho_Util_Tela (m)</t>
  </si>
  <si>
    <t>Base_Textil</t>
  </si>
  <si>
    <t>Ubicacion_Trazo (SI/NO)</t>
  </si>
  <si>
    <t>Modificacion_Arte (SI/NO)</t>
  </si>
  <si>
    <t>All_Over (SI/NO)</t>
  </si>
  <si>
    <t>Consumo_Base (m)</t>
  </si>
  <si>
    <t>Consumo_Creativo (m)</t>
  </si>
  <si>
    <t>Consumo_Tecnico (m)</t>
  </si>
  <si>
    <t>Consumo_Trazador (m)</t>
  </si>
  <si>
    <t>Ahorro_Optimizado (m)</t>
  </si>
  <si>
    <t>%_Ahorro</t>
  </si>
  <si>
    <t>TEL-88902</t>
  </si>
  <si>
    <t>Lino Italiano Premium</t>
  </si>
  <si>
    <t>TEL-33410</t>
  </si>
  <si>
    <t>Algodon Suave Ecologico</t>
  </si>
  <si>
    <t>TEL-88909</t>
  </si>
  <si>
    <t>Lino Premium Sand</t>
  </si>
  <si>
    <t>TEL-55603</t>
  </si>
  <si>
    <t>Seda Crepe de Chine</t>
  </si>
  <si>
    <t>FUS-00120</t>
  </si>
  <si>
    <t>Entretela Fusionable Ligera</t>
  </si>
  <si>
    <t>TEL-99801</t>
  </si>
  <si>
    <t>Lino Light Azure</t>
  </si>
  <si>
    <t>Tipo_Marquilla</t>
  </si>
  <si>
    <t>Info_SAP (SI/NO)</t>
  </si>
  <si>
    <t>Desc_USA_UK</t>
  </si>
  <si>
    <t>Fiber_Composition</t>
  </si>
  <si>
    <t>Inside_Composition</t>
  </si>
  <si>
    <t>Include</t>
  </si>
  <si>
    <t>Woven_Knitted</t>
  </si>
  <si>
    <t>Cuidado_Lavado</t>
  </si>
  <si>
    <t>Cuidado_Desmanche</t>
  </si>
  <si>
    <t>Cuidado_Secado</t>
  </si>
  <si>
    <t>Cuidado_Planchado</t>
  </si>
  <si>
    <t>Cuidados_Includes</t>
  </si>
  <si>
    <t>Observaciones</t>
  </si>
  <si>
    <t>MUESTRA</t>
  </si>
  <si>
    <t>Linen Maxidress</t>
  </si>
  <si>
    <t>100% Linen</t>
  </si>
  <si>
    <t>95% Cotton, 5% Spandex</t>
  </si>
  <si>
    <t>HAND WASH COLD</t>
  </si>
  <si>
    <t>DO NOT BLEACH</t>
  </si>
  <si>
    <t>DO NOT TUMBLE DRY</t>
  </si>
  <si>
    <t>DO NOT IRON</t>
  </si>
  <si>
    <t>Composiciones verificadas con proveedor</t>
  </si>
  <si>
    <t>PRODUCCION</t>
  </si>
  <si>
    <t>Subido a SAP 2026-04-29</t>
  </si>
  <si>
    <t>Vacation Panty Sand</t>
  </si>
  <si>
    <t>MACHINE WASH COLD</t>
  </si>
  <si>
    <t>TUMBLE DRY LOW</t>
  </si>
  <si>
    <t>IRON LOW</t>
  </si>
  <si>
    <t>Midi Dress Draped</t>
  </si>
  <si>
    <t>100% Silk (Crepe de Chine)</t>
  </si>
  <si>
    <t>DRY CLEAN ONLY</t>
  </si>
  <si>
    <t>Validar con proveedor seda</t>
  </si>
  <si>
    <t>Cod_OT</t>
  </si>
  <si>
    <t>Nombre_Contramuestra</t>
  </si>
  <si>
    <t>Talla_Contramuestra</t>
  </si>
  <si>
    <t>Color_Contramuestra</t>
  </si>
  <si>
    <t>Diseñador_Encargado</t>
  </si>
  <si>
    <t>Modista_CM</t>
  </si>
  <si>
    <t>Status_Confeccion</t>
  </si>
  <si>
    <t>Tipo_Rechazo_Planta</t>
  </si>
  <si>
    <t>Prioridad</t>
  </si>
  <si>
    <t>Drop</t>
  </si>
  <si>
    <t>Fecha_Meta_Entrega</t>
  </si>
  <si>
    <t>Reprogramacion (SI/NO)</t>
  </si>
  <si>
    <t>Unidades_Cortadas</t>
  </si>
  <si>
    <t>Nota_Fabricacion_SAP</t>
  </si>
  <si>
    <t>Gestion_Nota (Fecha)</t>
  </si>
  <si>
    <t>Fecha_Traslado_SAP</t>
  </si>
  <si>
    <t>Fecha_Despacho_ZF</t>
  </si>
  <si>
    <t>OT-00870</t>
  </si>
  <si>
    <t>Femininity Dramatic Dress OT</t>
  </si>
  <si>
    <t>M</t>
  </si>
  <si>
    <t>NOT-778901</t>
  </si>
  <si>
    <t>2026-05-07</t>
  </si>
  <si>
    <t>2026-05-08</t>
  </si>
  <si>
    <t>Sunset Vacation Panty OT</t>
  </si>
  <si>
    <t>2026-05-10</t>
  </si>
  <si>
    <t>T_0</t>
  </si>
  <si>
    <t>T_2</t>
  </si>
  <si>
    <t>T_4</t>
  </si>
  <si>
    <t>T_6</t>
  </si>
  <si>
    <t>T_8</t>
  </si>
  <si>
    <t>T_10</t>
  </si>
  <si>
    <t>T_12</t>
  </si>
  <si>
    <t>T_XS</t>
  </si>
  <si>
    <t>T_S</t>
  </si>
  <si>
    <t>T_M</t>
  </si>
  <si>
    <t>T_L</t>
  </si>
  <si>
    <t>T_XL</t>
  </si>
  <si>
    <t>TOTAL</t>
  </si>
  <si>
    <t>DASHBOARD EJECUTIVO - CONTROL DE COLECCION</t>
  </si>
  <si>
    <t>1. ESTADO GENERAL DE LA COLECCION</t>
  </si>
  <si>
    <t>Total Referencias</t>
  </si>
  <si>
    <t xml:space="preserve">  En Ideacion (Azul)</t>
  </si>
  <si>
    <t xml:space="preserve">  En Laboratorio (Ambar)</t>
  </si>
  <si>
    <t xml:space="preserve">  En Validacion Tecnica (Naranja)</t>
  </si>
  <si>
    <t xml:space="preserve">  En Industrializacion (Rojo)</t>
  </si>
  <si>
    <t xml:space="preserve">  Aprobadas</t>
  </si>
  <si>
    <t xml:space="preserve">  Canceladas</t>
  </si>
  <si>
    <t>Score de Salud Estimado</t>
  </si>
  <si>
    <t>85/100</t>
  </si>
  <si>
    <t>Tasa de Aprobacion</t>
  </si>
  <si>
    <t>25%</t>
  </si>
  <si>
    <t>2. CARGA DE TRABAJO POR AREA</t>
  </si>
  <si>
    <t>Area</t>
  </si>
  <si>
    <t>Refs Activas</t>
  </si>
  <si>
    <t>% Carga</t>
  </si>
  <si>
    <t>Responsables Clave</t>
  </si>
  <si>
    <t>Cuellos de Botella</t>
  </si>
  <si>
    <t>CREATIVA (Diseno y Moldería)</t>
  </si>
  <si>
    <t>75%</t>
  </si>
  <si>
    <t>Claudia, Fer, Osman</t>
  </si>
  <si>
    <t>Ref #3 espera tela</t>
  </si>
  <si>
    <t>TALLER (Corte y Confeccion)</t>
  </si>
  <si>
    <t>60%</t>
  </si>
  <si>
    <t>Isabel V., Fanny G., Alejandra R.</t>
  </si>
  <si>
    <t>Ref #3 tela en cuarentena</t>
  </si>
  <si>
    <t>INGENIERIA (Escalado y Trazos)</t>
  </si>
  <si>
    <t>50%</t>
  </si>
  <si>
    <t>Daniela G., Cristian G.</t>
  </si>
  <si>
    <t>Ref #2 talla 12 compleja</t>
  </si>
  <si>
    <t>PRODUCCION (Fichas y SAP)</t>
  </si>
  <si>
    <t>Gabriela L.</t>
  </si>
  <si>
    <t>Sin bloqueadores</t>
  </si>
  <si>
    <t>3. AHORRO DE CONSUMOS (Trazador vs Creativo)</t>
  </si>
  <si>
    <t>Ref</t>
  </si>
  <si>
    <t>Material</t>
  </si>
  <si>
    <t>Consumo Creativo</t>
  </si>
  <si>
    <t>Consumo Trazador</t>
  </si>
  <si>
    <t>Ahorro (m)</t>
  </si>
  <si>
    <t>% Ahorro</t>
  </si>
  <si>
    <t>Ahorro Total Proyectado</t>
  </si>
  <si>
    <t>2.05 m</t>
  </si>
  <si>
    <t>1.85 m</t>
  </si>
  <si>
    <t>0.20 m</t>
  </si>
  <si>
    <t>9.8%</t>
  </si>
  <si>
    <t>250 m (1250 unids)</t>
  </si>
  <si>
    <t>1.35 m</t>
  </si>
  <si>
    <t>1.05 m</t>
  </si>
  <si>
    <t>0.30 m</t>
  </si>
  <si>
    <t>22.2%</t>
  </si>
  <si>
    <t>375 m (1250 unids)</t>
  </si>
  <si>
    <t>4. EMBUDO DE PROGRESO (Funnel por Fases)</t>
  </si>
  <si>
    <t>FASE 1: IDEACION Y DISENO</t>
  </si>
  <si>
    <t>4 refs (100%)</t>
  </si>
  <si>
    <t>████████████████████████</t>
  </si>
  <si>
    <t>FASE 2: LABORATORIO Y PROTOTIPADO</t>
  </si>
  <si>
    <t>3 refs (75%)</t>
  </si>
  <si>
    <t>██████████████████</t>
  </si>
  <si>
    <t>FASE 3: VALIDACION TECNICA</t>
  </si>
  <si>
    <t>2 refs (50%)</t>
  </si>
  <si>
    <t>████████████</t>
  </si>
  <si>
    <t>FASE 4: INDUSTRIALIZACION</t>
  </si>
  <si>
    <t>1 ref (25%)</t>
  </si>
  <si>
    <t>██████</t>
  </si>
  <si>
    <t>5. LEYENDA DE COLORES POR AREA RESPONSABLE</t>
  </si>
  <si>
    <t>AZUL</t>
  </si>
  <si>
    <t>CREATIVA: Perfilamiento, Diseno, Consumos Creativos, Molderia Base</t>
  </si>
  <si>
    <t>AMBAR</t>
  </si>
  <si>
    <t>TALLER: Alistamiento Telas, Corte, Confeccion, Procesos Especiales</t>
  </si>
  <si>
    <t>NARANJA</t>
  </si>
  <si>
    <t>INGENIERIA: Mediciones, Ajustes, Escalado, Consumo Tecnico, Trazos</t>
  </si>
  <si>
    <t>ROJO</t>
  </si>
  <si>
    <t>PRODUCCION: Ficha Final, Marquillas, Contramuestras, SAP, Calidad</t>
  </si>
  <si>
    <t>GRIS</t>
  </si>
  <si>
    <t>STATUS Y ENTREGABLES: Control de hitos y liberacion entre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</si>
</sst>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14"/>
      <color rgb="FFFFFFFF"/>
      <name val="Calibri"/>
    </font>
    <font>
      <b/>
      <sz val="12"/>
      <color rgb="FF003366"/>
      <name val="Calibri"/>
    </font>
    <font>
      <b/>
      <sz val="10"/>
      <name val="Calibri"/>
    </font>
    <font>
      <sz val="10"/>
      <name val="Calibri"/>
    </font>
    <font>
      <sz val="12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D8DC"/>
        <bgColor rgb="FFD5D8DC"/>
      </patternFill>
    </fill>
    <fill>
      <patternFill patternType="solid">
        <fgColor rgb="FF1F4E79"/>
        <bgColor rgb="FF1F4E79"/>
      </patternFill>
    </fill>
    <fill>
      <patternFill patternType="solid">
        <fgColor rgb="FFBF8F00"/>
        <bgColor rgb="FFBF8F00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rgb="FF003366"/>
        <bgColor rgb="FF003366"/>
      </patternFill>
    </fill>
    <fill>
      <patternFill patternType="solid">
        <fgColor rgb="FFD9E2F3"/>
        <bgColor rgb="FFD9E2F3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4B4C2"/>
        <bgColor rgb="FFF4B4C2"/>
      </patternFill>
    </fill>
    <fill>
      <patternFill patternType="solid">
        <fgColor rgb="FFD6DCE4"/>
        <bgColor rgb="FFD6DCE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/>
    <xf numFmtId="0" fontId="1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5" fillId="11" borderId="0" xfId="0" applyFont="1" applyFill="1"/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6" fillId="15" borderId="1" xfId="0" applyFont="1" applyFill="1" applyBorder="1"/>
    <xf numFmtId="0" fontId="4" fillId="10" borderId="0" xfId="0" applyFont="1" applyFill="1" applyAlignment="1">
      <alignment horizontal="center" vertical="center"/>
    </xf>
    <xf numFmtId="0" fontId="6" fillId="12" borderId="1" xfId="0" applyFont="1" applyFill="1" applyBorder="1"/>
    <xf numFmtId="0" fontId="6" fillId="14" borderId="1" xfId="0" applyFont="1" applyFill="1" applyBorder="1"/>
    <xf numFmtId="0" fontId="6" fillId="13" borderId="1" xfId="0" applyFont="1" applyFill="1" applyBorder="1"/>
    <xf numFmtId="0" fontId="2" fillId="17" borderId="1" xfId="0" applyFont="1" applyFill="1" applyBorder="1" applyAlignment="1">
      <alignment horizontal="center" vertical="center"/>
    </xf>
    <xf numFmtId="0" fontId="0" fillId="18" borderId="0" xfId="0" applyFill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AG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33" width="26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45</v>
      </c>
      <c r="AF2" s="2" t="s">
        <v>63</v>
      </c>
      <c r="AG2" s="2" t="s">
        <v>64</v>
      </c>
    </row>
    <row r="3" spans="1:33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  <c r="I3" s="3" t="s">
        <v>73</v>
      </c>
      <c r="J3" s="3" t="s">
        <v>74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 t="s">
        <v>83</v>
      </c>
      <c r="T3" s="3" t="s">
        <v>84</v>
      </c>
      <c r="U3" s="3" t="s">
        <v>85</v>
      </c>
      <c r="V3" s="3" t="s">
        <v>86</v>
      </c>
      <c r="W3" s="3" t="s">
        <v>87</v>
      </c>
      <c r="X3" s="3" t="s">
        <v>88</v>
      </c>
      <c r="Y3" s="3" t="s">
        <v>58</v>
      </c>
      <c r="Z3" s="3" t="s">
        <v>89</v>
      </c>
      <c r="AA3" s="3" t="s">
        <v>90</v>
      </c>
      <c r="AB3" s="3" t="s">
        <v>91</v>
      </c>
      <c r="AC3" s="3" t="s">
        <v>92</v>
      </c>
      <c r="AD3" s="3" t="s">
        <v>93</v>
      </c>
      <c r="AE3" s="3" t="s">
        <v>77</v>
      </c>
      <c r="AF3" s="3" t="s">
        <v>94</v>
      </c>
      <c r="AG3" s="3" t="s">
        <v>95</v>
      </c>
    </row>
    <row r="4" spans="1:33" x14ac:dyDescent="0.25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103</v>
      </c>
      <c r="I4" s="2" t="s">
        <v>104</v>
      </c>
      <c r="J4" s="2" t="s">
        <v>105</v>
      </c>
      <c r="K4" s="2" t="s">
        <v>106</v>
      </c>
      <c r="L4" s="2" t="s">
        <v>107</v>
      </c>
      <c r="N4" s="2" t="s">
        <v>108</v>
      </c>
      <c r="O4" s="2" t="s">
        <v>109</v>
      </c>
      <c r="P4" s="2" t="s">
        <v>110</v>
      </c>
      <c r="Q4" s="2" t="s">
        <v>111</v>
      </c>
      <c r="R4" s="2" t="s">
        <v>112</v>
      </c>
      <c r="S4" s="2" t="s">
        <v>113</v>
      </c>
      <c r="T4" s="2" t="s">
        <v>114</v>
      </c>
      <c r="U4" s="2" t="s">
        <v>115</v>
      </c>
      <c r="V4" s="2" t="s">
        <v>116</v>
      </c>
      <c r="X4" s="2" t="s">
        <v>117</v>
      </c>
      <c r="Y4" s="2" t="s">
        <v>89</v>
      </c>
      <c r="Z4" s="2" t="s">
        <v>118</v>
      </c>
      <c r="AA4" s="2" t="s">
        <v>119</v>
      </c>
      <c r="AB4" s="2" t="s">
        <v>120</v>
      </c>
      <c r="AC4" s="2" t="s">
        <v>121</v>
      </c>
      <c r="AD4" s="2" t="s">
        <v>122</v>
      </c>
      <c r="AE4" s="2" t="s">
        <v>123</v>
      </c>
      <c r="AF4" s="2" t="s">
        <v>124</v>
      </c>
      <c r="AG4" s="2" t="s">
        <v>125</v>
      </c>
    </row>
    <row r="5" spans="1:33" x14ac:dyDescent="0.25">
      <c r="A5" s="3" t="s">
        <v>126</v>
      </c>
      <c r="B5" s="3" t="s">
        <v>127</v>
      </c>
      <c r="C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  <c r="I5" s="3" t="s">
        <v>133</v>
      </c>
      <c r="J5" s="3" t="s">
        <v>134</v>
      </c>
      <c r="K5" s="3" t="s">
        <v>135</v>
      </c>
      <c r="L5" s="3" t="s">
        <v>136</v>
      </c>
      <c r="O5" s="3" t="s">
        <v>137</v>
      </c>
      <c r="P5" s="3" t="s">
        <v>138</v>
      </c>
      <c r="Q5" s="3" t="s">
        <v>139</v>
      </c>
      <c r="R5" s="3" t="s">
        <v>140</v>
      </c>
      <c r="S5" s="3" t="s">
        <v>141</v>
      </c>
      <c r="T5" s="3" t="s">
        <v>142</v>
      </c>
      <c r="U5" s="3" t="s">
        <v>143</v>
      </c>
      <c r="V5" s="3" t="s">
        <v>144</v>
      </c>
      <c r="X5" s="3" t="s">
        <v>145</v>
      </c>
      <c r="Y5" s="3" t="s">
        <v>146</v>
      </c>
      <c r="Z5" s="3" t="s">
        <v>96</v>
      </c>
      <c r="AA5" s="3" t="s">
        <v>147</v>
      </c>
      <c r="AB5" s="3" t="s">
        <v>148</v>
      </c>
      <c r="AC5" s="3" t="s">
        <v>149</v>
      </c>
      <c r="AD5" s="3" t="s">
        <v>150</v>
      </c>
      <c r="AE5" s="3" t="s">
        <v>151</v>
      </c>
    </row>
    <row r="6" spans="1:33" x14ac:dyDescent="0.25">
      <c r="A6" s="2" t="s">
        <v>152</v>
      </c>
      <c r="B6" s="2" t="s">
        <v>153</v>
      </c>
      <c r="C6" s="2" t="s">
        <v>154</v>
      </c>
      <c r="E6" s="2" t="s">
        <v>155</v>
      </c>
      <c r="F6" s="2" t="s">
        <v>156</v>
      </c>
      <c r="G6" s="2" t="s">
        <v>157</v>
      </c>
      <c r="H6" s="2" t="s">
        <v>158</v>
      </c>
      <c r="J6" s="2" t="s">
        <v>159</v>
      </c>
      <c r="K6" s="2" t="s">
        <v>160</v>
      </c>
      <c r="L6" s="2" t="s">
        <v>161</v>
      </c>
      <c r="O6" s="2" t="s">
        <v>162</v>
      </c>
      <c r="P6" s="2" t="s">
        <v>163</v>
      </c>
      <c r="Q6" s="2" t="s">
        <v>164</v>
      </c>
      <c r="R6" s="2" t="s">
        <v>165</v>
      </c>
      <c r="S6" s="2" t="s">
        <v>166</v>
      </c>
      <c r="T6" s="2" t="s">
        <v>167</v>
      </c>
      <c r="V6" s="2" t="s">
        <v>168</v>
      </c>
      <c r="X6" s="2" t="s">
        <v>169</v>
      </c>
      <c r="Z6" s="2" t="s">
        <v>146</v>
      </c>
      <c r="AA6" s="2" t="s">
        <v>170</v>
      </c>
      <c r="AB6" s="2" t="s">
        <v>171</v>
      </c>
      <c r="AC6" s="2" t="s">
        <v>172</v>
      </c>
      <c r="AD6" s="2" t="s">
        <v>173</v>
      </c>
      <c r="AE6" s="2" t="s">
        <v>174</v>
      </c>
    </row>
    <row r="7" spans="1:33" x14ac:dyDescent="0.25">
      <c r="A7" s="3" t="s">
        <v>175</v>
      </c>
      <c r="B7" s="3" t="s">
        <v>176</v>
      </c>
      <c r="C7" s="3" t="s">
        <v>177</v>
      </c>
      <c r="E7" s="3" t="s">
        <v>178</v>
      </c>
      <c r="F7" s="3" t="s">
        <v>179</v>
      </c>
      <c r="G7" s="3" t="s">
        <v>180</v>
      </c>
      <c r="H7" s="3" t="s">
        <v>181</v>
      </c>
      <c r="J7" s="3" t="s">
        <v>182</v>
      </c>
      <c r="K7" s="3" t="s">
        <v>183</v>
      </c>
      <c r="L7" s="3" t="s">
        <v>184</v>
      </c>
      <c r="O7" s="3" t="s">
        <v>185</v>
      </c>
      <c r="P7" s="3" t="s">
        <v>186</v>
      </c>
      <c r="Q7" s="3" t="s">
        <v>187</v>
      </c>
      <c r="R7" s="3" t="s">
        <v>188</v>
      </c>
      <c r="S7" s="3" t="s">
        <v>189</v>
      </c>
      <c r="T7" s="3" t="s">
        <v>190</v>
      </c>
      <c r="AA7" s="3" t="s">
        <v>191</v>
      </c>
      <c r="AB7" s="3" t="s">
        <v>192</v>
      </c>
      <c r="AC7" s="3" t="s">
        <v>193</v>
      </c>
      <c r="AD7" s="3" t="s">
        <v>174</v>
      </c>
    </row>
    <row r="8" spans="1:33" x14ac:dyDescent="0.25">
      <c r="A8" s="2" t="s">
        <v>194</v>
      </c>
      <c r="B8" s="2" t="s">
        <v>195</v>
      </c>
      <c r="C8" s="2" t="s">
        <v>196</v>
      </c>
      <c r="E8" s="2" t="s">
        <v>197</v>
      </c>
      <c r="G8" s="2" t="s">
        <v>198</v>
      </c>
      <c r="J8" s="2" t="s">
        <v>199</v>
      </c>
      <c r="K8" s="2" t="s">
        <v>200</v>
      </c>
      <c r="L8" s="2" t="s">
        <v>201</v>
      </c>
      <c r="S8" s="2" t="s">
        <v>202</v>
      </c>
      <c r="T8" s="2" t="s">
        <v>203</v>
      </c>
      <c r="AD8" s="2" t="s">
        <v>204</v>
      </c>
    </row>
    <row r="9" spans="1:33" x14ac:dyDescent="0.25">
      <c r="A9" s="3" t="s">
        <v>205</v>
      </c>
      <c r="B9" s="3" t="s">
        <v>206</v>
      </c>
      <c r="C9" s="3" t="s">
        <v>207</v>
      </c>
      <c r="E9" s="3" t="s">
        <v>208</v>
      </c>
      <c r="G9" s="3" t="s">
        <v>209</v>
      </c>
      <c r="J9" s="3" t="s">
        <v>210</v>
      </c>
      <c r="K9" s="3" t="s">
        <v>211</v>
      </c>
      <c r="L9" s="3" t="s">
        <v>212</v>
      </c>
      <c r="S9" s="3" t="s">
        <v>213</v>
      </c>
      <c r="T9" s="3" t="s">
        <v>214</v>
      </c>
    </row>
    <row r="10" spans="1:33" x14ac:dyDescent="0.25">
      <c r="A10" s="2" t="s">
        <v>58</v>
      </c>
      <c r="G10" s="2" t="s">
        <v>215</v>
      </c>
      <c r="J10" s="2" t="s">
        <v>216</v>
      </c>
      <c r="K10" s="2" t="s">
        <v>217</v>
      </c>
      <c r="S10" s="2" t="s">
        <v>218</v>
      </c>
      <c r="T10" s="2" t="s">
        <v>219</v>
      </c>
    </row>
    <row r="11" spans="1:33" x14ac:dyDescent="0.25">
      <c r="A11" s="3" t="s">
        <v>220</v>
      </c>
      <c r="G11" s="3" t="s">
        <v>221</v>
      </c>
      <c r="J11" s="3" t="s">
        <v>222</v>
      </c>
      <c r="K11" s="3" t="s">
        <v>223</v>
      </c>
      <c r="S11" s="3" t="s">
        <v>224</v>
      </c>
      <c r="T11" s="3" t="s">
        <v>225</v>
      </c>
    </row>
    <row r="12" spans="1:33" x14ac:dyDescent="0.25">
      <c r="A12" s="2" t="s">
        <v>118</v>
      </c>
      <c r="G12" s="2" t="s">
        <v>226</v>
      </c>
      <c r="J12" s="2" t="s">
        <v>227</v>
      </c>
      <c r="K12" s="2" t="s">
        <v>228</v>
      </c>
    </row>
    <row r="13" spans="1:33" x14ac:dyDescent="0.25">
      <c r="A13" s="3" t="s">
        <v>89</v>
      </c>
      <c r="G13" s="3" t="s">
        <v>229</v>
      </c>
      <c r="J13" s="3" t="s">
        <v>230</v>
      </c>
      <c r="K13" s="3" t="s">
        <v>231</v>
      </c>
    </row>
    <row r="14" spans="1:33" x14ac:dyDescent="0.25">
      <c r="G14" s="2" t="s">
        <v>232</v>
      </c>
      <c r="J14" s="2" t="s">
        <v>233</v>
      </c>
      <c r="K14" s="2" t="s">
        <v>234</v>
      </c>
    </row>
    <row r="15" spans="1:33" x14ac:dyDescent="0.25">
      <c r="G15" s="3" t="s">
        <v>235</v>
      </c>
      <c r="K15" s="3" t="s">
        <v>236</v>
      </c>
    </row>
    <row r="16" spans="1:33" x14ac:dyDescent="0.25">
      <c r="K16" s="2" t="s">
        <v>237</v>
      </c>
    </row>
    <row r="17" spans="11:11" x14ac:dyDescent="0.25">
      <c r="K17" s="3" t="s">
        <v>238</v>
      </c>
    </row>
    <row r="18" spans="11:11" x14ac:dyDescent="0.25">
      <c r="K18" s="2" t="s">
        <v>239</v>
      </c>
    </row>
    <row r="19" spans="11:11" x14ac:dyDescent="0.25">
      <c r="K19" s="3" t="s">
        <v>240</v>
      </c>
    </row>
    <row r="20" spans="11:11" x14ac:dyDescent="0.25">
      <c r="K20" s="2" t="s">
        <v>241</v>
      </c>
    </row>
    <row r="21" spans="11:11" x14ac:dyDescent="0.25">
      <c r="K21" s="3" t="s">
        <v>242</v>
      </c>
    </row>
    <row r="22" spans="11:11" x14ac:dyDescent="0.25">
      <c r="K22" s="2" t="s">
        <v>243</v>
      </c>
    </row>
    <row r="23" spans="11:11" x14ac:dyDescent="0.25">
      <c r="K23" s="3" t="s">
        <v>244</v>
      </c>
    </row>
    <row r="24" spans="11:11" x14ac:dyDescent="0.25">
      <c r="K24" s="2" t="s">
        <v>245</v>
      </c>
    </row>
    <row r="25" spans="11:11" x14ac:dyDescent="0.25">
      <c r="K25" s="3" t="s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AS5"/>
  <sheetViews>
    <sheetView workbookViewId="0">
      <pane xSplit="1" ySplit="1" topLeftCell="H2" activePane="bottomRight" state="frozen"/>
      <selection pane="topRight"/>
      <selection pane="bottomLeft"/>
      <selection pane="bottomRight" activeCell="S2" sqref="S2"/>
    </sheetView>
  </sheetViews>
  <sheetFormatPr baseColWidth="10" defaultColWidth="9.140625" defaultRowHeight="15" x14ac:dyDescent="0.25"/>
  <cols>
    <col min="1" max="3" width="13" customWidth="1"/>
    <col min="4" max="4" width="24" customWidth="1"/>
    <col min="5" max="6" width="13" customWidth="1"/>
    <col min="7" max="7" width="15.140625" customWidth="1"/>
    <col min="8" max="8" width="13" customWidth="1"/>
    <col min="9" max="9" width="16.28515625" customWidth="1"/>
    <col min="10" max="10" width="13" customWidth="1"/>
    <col min="11" max="11" width="18.42578125" customWidth="1"/>
    <col min="12" max="12" width="16.28515625" customWidth="1"/>
    <col min="13" max="13" width="24" customWidth="1"/>
    <col min="14" max="15" width="21.85546875" customWidth="1"/>
    <col min="16" max="21" width="24" customWidth="1"/>
    <col min="22" max="22" width="18.42578125" customWidth="1"/>
    <col min="23" max="23" width="16.28515625" customWidth="1"/>
    <col min="24" max="28" width="24" customWidth="1"/>
    <col min="29" max="29" width="20.7109375" customWidth="1"/>
    <col min="30" max="33" width="24" customWidth="1"/>
    <col min="34" max="34" width="17.42578125" customWidth="1"/>
    <col min="35" max="36" width="24" customWidth="1"/>
    <col min="37" max="37" width="20.7109375" customWidth="1"/>
    <col min="38" max="40" width="24" customWidth="1"/>
    <col min="41" max="41" width="21.85546875" customWidth="1"/>
    <col min="42" max="45" width="24" customWidth="1"/>
  </cols>
  <sheetData>
    <row r="1" spans="1:45" x14ac:dyDescent="0.25">
      <c r="A1" s="4" t="s">
        <v>247</v>
      </c>
      <c r="B1" s="4" t="s">
        <v>248</v>
      </c>
      <c r="C1" s="4" t="s">
        <v>249</v>
      </c>
      <c r="D1" s="4" t="s">
        <v>250</v>
      </c>
      <c r="E1" s="4" t="s">
        <v>251</v>
      </c>
      <c r="F1" s="4" t="s">
        <v>252</v>
      </c>
      <c r="G1" s="4" t="s">
        <v>253</v>
      </c>
      <c r="H1" s="4" t="s">
        <v>254</v>
      </c>
      <c r="I1" s="4" t="s">
        <v>255</v>
      </c>
      <c r="J1" s="4" t="s">
        <v>256</v>
      </c>
      <c r="K1" s="4" t="s">
        <v>257</v>
      </c>
      <c r="L1" s="4" t="s">
        <v>258</v>
      </c>
      <c r="M1" s="4" t="s">
        <v>259</v>
      </c>
      <c r="N1" s="4" t="s">
        <v>260</v>
      </c>
      <c r="O1" s="4" t="s">
        <v>261</v>
      </c>
      <c r="P1" s="4" t="s">
        <v>262</v>
      </c>
      <c r="Q1" s="4" t="s">
        <v>263</v>
      </c>
      <c r="R1" s="4" t="s">
        <v>264</v>
      </c>
      <c r="S1" s="4" t="s">
        <v>265</v>
      </c>
      <c r="T1" s="4" t="s">
        <v>266</v>
      </c>
      <c r="U1" s="4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6" t="s">
        <v>272</v>
      </c>
      <c r="AA1" s="6" t="s">
        <v>273</v>
      </c>
      <c r="AB1" s="6" t="s">
        <v>274</v>
      </c>
      <c r="AC1" s="6" t="s">
        <v>275</v>
      </c>
      <c r="AD1" s="6" t="s">
        <v>276</v>
      </c>
      <c r="AE1" s="6" t="s">
        <v>277</v>
      </c>
      <c r="AF1" s="6" t="s">
        <v>278</v>
      </c>
      <c r="AG1" s="6" t="s">
        <v>279</v>
      </c>
      <c r="AH1" s="7" t="s">
        <v>280</v>
      </c>
      <c r="AI1" s="7" t="s">
        <v>281</v>
      </c>
      <c r="AJ1" s="7" t="s">
        <v>282</v>
      </c>
      <c r="AK1" s="8" t="s">
        <v>283</v>
      </c>
      <c r="AL1" s="8" t="s">
        <v>284</v>
      </c>
      <c r="AM1" s="8" t="s">
        <v>285</v>
      </c>
      <c r="AN1" s="8" t="s">
        <v>286</v>
      </c>
      <c r="AO1" s="8" t="s">
        <v>287</v>
      </c>
      <c r="AP1" s="8" t="s">
        <v>288</v>
      </c>
      <c r="AQ1" s="8" t="s">
        <v>289</v>
      </c>
      <c r="AR1" s="8" t="s">
        <v>290</v>
      </c>
      <c r="AS1" s="8" t="s">
        <v>291</v>
      </c>
    </row>
    <row r="2" spans="1:45" s="37" customFormat="1" x14ac:dyDescent="0.25">
      <c r="A2" s="36">
        <v>1</v>
      </c>
      <c r="B2" s="36" t="s">
        <v>292</v>
      </c>
      <c r="C2" s="36" t="s">
        <v>293</v>
      </c>
      <c r="D2" s="36" t="s">
        <v>294</v>
      </c>
      <c r="E2" s="36" t="s">
        <v>295</v>
      </c>
      <c r="F2" s="36" t="s">
        <v>296</v>
      </c>
      <c r="G2" s="36" t="s">
        <v>51</v>
      </c>
      <c r="H2" s="36" t="s">
        <v>38</v>
      </c>
      <c r="I2" s="36" t="s">
        <v>215</v>
      </c>
      <c r="J2" s="36" t="s">
        <v>40</v>
      </c>
      <c r="K2" s="36" t="s">
        <v>133</v>
      </c>
      <c r="L2" s="36" t="s">
        <v>212</v>
      </c>
      <c r="M2" s="36" t="s">
        <v>62</v>
      </c>
      <c r="N2" s="36" t="s">
        <v>297</v>
      </c>
      <c r="O2" s="36" t="s">
        <v>66</v>
      </c>
      <c r="P2" s="36" t="s">
        <v>298</v>
      </c>
      <c r="Q2" s="36" t="s">
        <v>77</v>
      </c>
      <c r="R2" s="36" t="s">
        <v>299</v>
      </c>
      <c r="S2" s="36" t="s">
        <v>300</v>
      </c>
      <c r="T2" s="36" t="s">
        <v>301</v>
      </c>
      <c r="U2" s="36" t="s">
        <v>302</v>
      </c>
      <c r="V2" s="36" t="s">
        <v>208</v>
      </c>
      <c r="W2" s="36" t="s">
        <v>33</v>
      </c>
      <c r="X2" s="36" t="s">
        <v>45</v>
      </c>
      <c r="Y2" s="36" t="s">
        <v>45</v>
      </c>
      <c r="Z2" s="36" t="s">
        <v>303</v>
      </c>
      <c r="AA2" s="36" t="s">
        <v>304</v>
      </c>
      <c r="AB2" s="36" t="s">
        <v>46</v>
      </c>
      <c r="AC2" s="36" t="s">
        <v>128</v>
      </c>
      <c r="AD2" s="36" t="s">
        <v>128</v>
      </c>
      <c r="AE2" s="36" t="s">
        <v>305</v>
      </c>
      <c r="AF2" s="36" t="s">
        <v>306</v>
      </c>
      <c r="AG2" s="36" t="s">
        <v>307</v>
      </c>
      <c r="AH2" s="36" t="s">
        <v>308</v>
      </c>
      <c r="AI2" s="36" t="s">
        <v>309</v>
      </c>
      <c r="AJ2" s="36" t="s">
        <v>310</v>
      </c>
      <c r="AK2" s="36" t="s">
        <v>33</v>
      </c>
      <c r="AL2" s="36" t="s">
        <v>311</v>
      </c>
      <c r="AM2" s="36" t="s">
        <v>311</v>
      </c>
      <c r="AN2" s="36" t="s">
        <v>311</v>
      </c>
      <c r="AO2" s="36" t="s">
        <v>174</v>
      </c>
      <c r="AP2" s="36" t="s">
        <v>312</v>
      </c>
      <c r="AQ2" s="36" t="s">
        <v>310</v>
      </c>
      <c r="AR2" s="36" t="s">
        <v>313</v>
      </c>
      <c r="AS2" s="36" t="s">
        <v>314</v>
      </c>
    </row>
    <row r="3" spans="1:45" x14ac:dyDescent="0.25">
      <c r="A3" s="3">
        <v>2</v>
      </c>
      <c r="B3" s="3" t="s">
        <v>315</v>
      </c>
      <c r="C3" s="3" t="s">
        <v>316</v>
      </c>
      <c r="D3" s="3" t="s">
        <v>317</v>
      </c>
      <c r="E3" s="3" t="s">
        <v>318</v>
      </c>
      <c r="F3" s="3" t="s">
        <v>319</v>
      </c>
      <c r="G3" s="3" t="s">
        <v>83</v>
      </c>
      <c r="H3" s="3" t="s">
        <v>101</v>
      </c>
      <c r="I3" s="3" t="s">
        <v>235</v>
      </c>
      <c r="J3" s="3" t="s">
        <v>103</v>
      </c>
      <c r="K3" s="3" t="s">
        <v>41</v>
      </c>
      <c r="L3" s="3" t="s">
        <v>136</v>
      </c>
      <c r="M3" s="3" t="s">
        <v>122</v>
      </c>
      <c r="N3" s="3"/>
      <c r="O3" s="3" t="s">
        <v>153</v>
      </c>
      <c r="P3" s="3" t="s">
        <v>301</v>
      </c>
      <c r="Q3" s="3" t="s">
        <v>45</v>
      </c>
      <c r="R3" s="3" t="s">
        <v>320</v>
      </c>
      <c r="S3" s="3" t="s">
        <v>321</v>
      </c>
      <c r="T3" s="3" t="s">
        <v>305</v>
      </c>
      <c r="U3" s="3" t="s">
        <v>322</v>
      </c>
      <c r="V3" s="3" t="s">
        <v>197</v>
      </c>
      <c r="W3" s="3" t="s">
        <v>323</v>
      </c>
      <c r="X3" s="3" t="s">
        <v>45</v>
      </c>
      <c r="Y3" s="3" t="s">
        <v>45</v>
      </c>
      <c r="Z3" s="3" t="s">
        <v>324</v>
      </c>
      <c r="AA3" s="3" t="s">
        <v>325</v>
      </c>
      <c r="AB3" s="3" t="s">
        <v>78</v>
      </c>
      <c r="AC3" s="3" t="s">
        <v>98</v>
      </c>
      <c r="AD3" s="3" t="s">
        <v>98</v>
      </c>
      <c r="AE3" s="3" t="s">
        <v>309</v>
      </c>
      <c r="AF3" s="3"/>
      <c r="AG3" s="3" t="s">
        <v>326</v>
      </c>
      <c r="AH3" s="3"/>
      <c r="AI3" s="3"/>
      <c r="AJ3" s="3"/>
      <c r="AK3" s="3" t="s">
        <v>58</v>
      </c>
      <c r="AL3" s="3" t="s">
        <v>311</v>
      </c>
      <c r="AM3" s="3" t="s">
        <v>58</v>
      </c>
      <c r="AN3" s="3"/>
      <c r="AO3" s="3"/>
      <c r="AP3" s="3" t="s">
        <v>306</v>
      </c>
      <c r="AQ3" s="3"/>
      <c r="AR3" s="3" t="s">
        <v>327</v>
      </c>
      <c r="AS3" s="3" t="s">
        <v>328</v>
      </c>
    </row>
    <row r="4" spans="1:45" x14ac:dyDescent="0.25">
      <c r="A4" s="9">
        <v>3</v>
      </c>
      <c r="B4" s="9" t="s">
        <v>329</v>
      </c>
      <c r="C4" s="9" t="s">
        <v>330</v>
      </c>
      <c r="D4" s="9" t="s">
        <v>331</v>
      </c>
      <c r="E4" s="9" t="s">
        <v>332</v>
      </c>
      <c r="F4" s="9" t="s">
        <v>333</v>
      </c>
      <c r="G4" s="9" t="s">
        <v>113</v>
      </c>
      <c r="H4" s="9" t="s">
        <v>38</v>
      </c>
      <c r="I4" s="9" t="s">
        <v>221</v>
      </c>
      <c r="J4" s="9" t="s">
        <v>40</v>
      </c>
      <c r="K4" s="9" t="s">
        <v>133</v>
      </c>
      <c r="L4" s="9" t="s">
        <v>76</v>
      </c>
      <c r="M4" s="9" t="s">
        <v>150</v>
      </c>
      <c r="N4" s="9" t="s">
        <v>293</v>
      </c>
      <c r="O4" s="9" t="s">
        <v>97</v>
      </c>
      <c r="P4" s="9" t="s">
        <v>334</v>
      </c>
      <c r="Q4" s="9" t="s">
        <v>45</v>
      </c>
      <c r="R4" s="9" t="s">
        <v>335</v>
      </c>
      <c r="S4" s="9" t="s">
        <v>336</v>
      </c>
      <c r="T4" s="9" t="s">
        <v>337</v>
      </c>
      <c r="U4" s="9" t="s">
        <v>338</v>
      </c>
      <c r="V4" s="9" t="s">
        <v>100</v>
      </c>
      <c r="W4" s="9" t="s">
        <v>339</v>
      </c>
      <c r="X4" s="9" t="s">
        <v>77</v>
      </c>
      <c r="Y4" s="9" t="s">
        <v>45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 t="s">
        <v>58</v>
      </c>
      <c r="AL4" s="9" t="s">
        <v>58</v>
      </c>
      <c r="AM4" s="9"/>
      <c r="AN4" s="9"/>
      <c r="AO4" s="9"/>
      <c r="AP4" s="9"/>
      <c r="AQ4" s="9"/>
      <c r="AR4" s="9" t="s">
        <v>340</v>
      </c>
      <c r="AS4" s="9" t="s">
        <v>341</v>
      </c>
    </row>
    <row r="5" spans="1:45" x14ac:dyDescent="0.25">
      <c r="A5" s="3">
        <v>4</v>
      </c>
      <c r="B5" s="3" t="s">
        <v>342</v>
      </c>
      <c r="C5" s="3" t="s">
        <v>343</v>
      </c>
      <c r="D5" s="3" t="s">
        <v>344</v>
      </c>
      <c r="E5" s="3" t="s">
        <v>345</v>
      </c>
      <c r="F5" s="3" t="s">
        <v>346</v>
      </c>
      <c r="G5" s="3" t="s">
        <v>51</v>
      </c>
      <c r="H5" s="3" t="s">
        <v>70</v>
      </c>
      <c r="I5" s="3" t="s">
        <v>209</v>
      </c>
      <c r="J5" s="3" t="s">
        <v>72</v>
      </c>
      <c r="K5" s="3" t="s">
        <v>133</v>
      </c>
      <c r="L5" s="3" t="s">
        <v>201</v>
      </c>
      <c r="M5" s="3" t="s">
        <v>173</v>
      </c>
      <c r="N5" s="3"/>
      <c r="O5" s="3" t="s">
        <v>195</v>
      </c>
      <c r="P5" s="3" t="s">
        <v>347</v>
      </c>
      <c r="Q5" s="3" t="s">
        <v>45</v>
      </c>
      <c r="R5" s="3" t="s">
        <v>348</v>
      </c>
      <c r="S5" s="3" t="s">
        <v>337</v>
      </c>
      <c r="T5" s="3"/>
      <c r="U5" s="3" t="s">
        <v>349</v>
      </c>
      <c r="V5" s="3"/>
      <c r="W5" s="3" t="s">
        <v>350</v>
      </c>
      <c r="X5" s="3" t="s">
        <v>77</v>
      </c>
      <c r="Y5" s="3" t="s">
        <v>45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 t="s">
        <v>58</v>
      </c>
      <c r="AL5" s="3"/>
      <c r="AM5" s="3"/>
      <c r="AN5" s="3"/>
      <c r="AO5" s="3"/>
      <c r="AP5" s="3"/>
      <c r="AQ5" s="3"/>
      <c r="AR5" s="3" t="s">
        <v>351</v>
      </c>
      <c r="AS5" s="3" t="s">
        <v>352</v>
      </c>
    </row>
  </sheetData>
  <autoFilter ref="A1:AS1" xr:uid="{00000000-0009-0000-0000-000001000000}"/>
  <conditionalFormatting sqref="A2:ZZ5">
    <cfRule type="expression" dxfId="1" priority="1">
      <formula>$AK2="APROBADO"</formula>
    </cfRule>
    <cfRule type="expression" dxfId="0" priority="2">
      <formula>$AK2="CANCELADO"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O7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16.28515625" customWidth="1"/>
    <col min="3" max="3" width="19.5703125" customWidth="1"/>
    <col min="4" max="5" width="22" customWidth="1"/>
    <col min="6" max="6" width="17.42578125" customWidth="1"/>
    <col min="7" max="8" width="22" customWidth="1"/>
    <col min="9" max="10" width="19.5703125" customWidth="1"/>
    <col min="11" max="15" width="22" customWidth="1"/>
  </cols>
  <sheetData>
    <row r="1" spans="1:15" x14ac:dyDescent="0.25">
      <c r="A1" s="5" t="s">
        <v>247</v>
      </c>
      <c r="B1" s="5" t="s">
        <v>353</v>
      </c>
      <c r="C1" s="5" t="s">
        <v>354</v>
      </c>
      <c r="D1" s="5" t="s">
        <v>355</v>
      </c>
      <c r="E1" s="5" t="s">
        <v>356</v>
      </c>
      <c r="F1" s="5" t="s">
        <v>357</v>
      </c>
      <c r="G1" s="5" t="s">
        <v>358</v>
      </c>
      <c r="H1" s="5" t="s">
        <v>359</v>
      </c>
      <c r="I1" s="5" t="s">
        <v>360</v>
      </c>
      <c r="J1" s="6" t="s">
        <v>361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366</v>
      </c>
    </row>
    <row r="2" spans="1:15" x14ac:dyDescent="0.25">
      <c r="A2" s="9">
        <v>1</v>
      </c>
      <c r="B2" s="9" t="s">
        <v>42</v>
      </c>
      <c r="C2" s="9" t="s">
        <v>367</v>
      </c>
      <c r="D2" s="9" t="s">
        <v>368</v>
      </c>
      <c r="E2" s="9">
        <v>1.45</v>
      </c>
      <c r="F2" s="9" t="s">
        <v>75</v>
      </c>
      <c r="G2" s="9" t="s">
        <v>45</v>
      </c>
      <c r="H2" s="9" t="s">
        <v>77</v>
      </c>
      <c r="I2" s="9" t="s">
        <v>77</v>
      </c>
      <c r="J2" s="9">
        <v>2.1</v>
      </c>
      <c r="K2" s="9">
        <v>2.0499999999999998</v>
      </c>
      <c r="L2" s="9">
        <v>1.99</v>
      </c>
      <c r="M2" s="9">
        <v>1.85</v>
      </c>
      <c r="N2" s="9">
        <f>K2-M2</f>
        <v>0.19999999999999973</v>
      </c>
      <c r="O2" s="10">
        <f>IF(K2&gt;0,N2/K2*100,0)</f>
        <v>9.7560975609755971</v>
      </c>
    </row>
    <row r="3" spans="1:15" x14ac:dyDescent="0.25">
      <c r="A3" s="3">
        <v>1</v>
      </c>
      <c r="B3" s="3" t="s">
        <v>74</v>
      </c>
      <c r="C3" s="3" t="s">
        <v>369</v>
      </c>
      <c r="D3" s="3" t="s">
        <v>370</v>
      </c>
      <c r="E3" s="3">
        <v>1.4</v>
      </c>
      <c r="F3" s="3" t="s">
        <v>106</v>
      </c>
      <c r="G3" s="3" t="s">
        <v>77</v>
      </c>
      <c r="H3" s="3" t="s">
        <v>77</v>
      </c>
      <c r="I3" s="3" t="s">
        <v>77</v>
      </c>
      <c r="J3" s="3">
        <v>1.2</v>
      </c>
      <c r="K3" s="3">
        <v>1.35</v>
      </c>
      <c r="L3" s="3">
        <v>1.33</v>
      </c>
      <c r="M3" s="3">
        <v>1.05</v>
      </c>
      <c r="N3" s="3">
        <f>K3-M3</f>
        <v>0.30000000000000004</v>
      </c>
      <c r="O3" s="11">
        <f>IF(K3&gt;0,N3/K3*100,0)</f>
        <v>22.222222222222225</v>
      </c>
    </row>
    <row r="4" spans="1:15" x14ac:dyDescent="0.25">
      <c r="A4" s="9">
        <v>2</v>
      </c>
      <c r="B4" s="9" t="s">
        <v>42</v>
      </c>
      <c r="C4" s="9" t="s">
        <v>371</v>
      </c>
      <c r="D4" s="9" t="s">
        <v>372</v>
      </c>
      <c r="E4" s="9">
        <v>1.5</v>
      </c>
      <c r="F4" s="9" t="s">
        <v>75</v>
      </c>
      <c r="G4" s="9" t="s">
        <v>45</v>
      </c>
      <c r="H4" s="9" t="s">
        <v>45</v>
      </c>
      <c r="I4" s="9" t="s">
        <v>77</v>
      </c>
      <c r="J4" s="9">
        <v>1.85</v>
      </c>
      <c r="K4" s="9">
        <v>1.92</v>
      </c>
      <c r="L4" s="9">
        <v>1.88</v>
      </c>
      <c r="M4" s="9">
        <v>1.85</v>
      </c>
      <c r="N4" s="9">
        <f>K4-M4</f>
        <v>6.999999999999984E-2</v>
      </c>
      <c r="O4" s="10">
        <f>IF(K4&gt;0,N4/K4*100,0)</f>
        <v>3.645833333333325</v>
      </c>
    </row>
    <row r="5" spans="1:15" x14ac:dyDescent="0.25">
      <c r="A5" s="3">
        <v>3</v>
      </c>
      <c r="B5" s="3" t="s">
        <v>42</v>
      </c>
      <c r="C5" s="3" t="s">
        <v>373</v>
      </c>
      <c r="D5" s="3" t="s">
        <v>374</v>
      </c>
      <c r="E5" s="3">
        <v>1.35</v>
      </c>
      <c r="F5" s="3" t="s">
        <v>241</v>
      </c>
      <c r="G5" s="3" t="s">
        <v>77</v>
      </c>
      <c r="H5" s="3" t="s">
        <v>45</v>
      </c>
      <c r="I5" s="3" t="s">
        <v>45</v>
      </c>
      <c r="J5" s="3">
        <v>2.15</v>
      </c>
      <c r="K5" s="3">
        <v>2.2999999999999998</v>
      </c>
      <c r="L5" s="3"/>
      <c r="M5" s="3"/>
      <c r="N5" s="3"/>
      <c r="O5" s="3"/>
    </row>
    <row r="6" spans="1:15" x14ac:dyDescent="0.25">
      <c r="A6" s="9">
        <v>3</v>
      </c>
      <c r="B6" s="9" t="s">
        <v>105</v>
      </c>
      <c r="C6" s="9" t="s">
        <v>375</v>
      </c>
      <c r="D6" s="9" t="s">
        <v>376</v>
      </c>
      <c r="E6" s="9">
        <v>0.9</v>
      </c>
      <c r="F6" s="9" t="s">
        <v>106</v>
      </c>
      <c r="G6" s="9" t="s">
        <v>77</v>
      </c>
      <c r="H6" s="9" t="s">
        <v>77</v>
      </c>
      <c r="I6" s="9" t="s">
        <v>77</v>
      </c>
      <c r="J6" s="9">
        <v>0.45</v>
      </c>
      <c r="K6" s="9">
        <v>0.48</v>
      </c>
      <c r="L6" s="9"/>
      <c r="M6" s="9"/>
      <c r="N6" s="9"/>
      <c r="O6" s="9"/>
    </row>
    <row r="7" spans="1:15" x14ac:dyDescent="0.25">
      <c r="A7" s="3">
        <v>4</v>
      </c>
      <c r="B7" s="3" t="s">
        <v>42</v>
      </c>
      <c r="C7" s="3" t="s">
        <v>377</v>
      </c>
      <c r="D7" s="3" t="s">
        <v>378</v>
      </c>
      <c r="E7" s="3">
        <v>1.42</v>
      </c>
      <c r="F7" s="3" t="s">
        <v>234</v>
      </c>
      <c r="G7" s="3" t="s">
        <v>77</v>
      </c>
      <c r="H7" s="3" t="s">
        <v>77</v>
      </c>
      <c r="I7" s="3" t="s">
        <v>77</v>
      </c>
      <c r="J7" s="3"/>
      <c r="K7" s="3"/>
      <c r="L7" s="3"/>
      <c r="M7" s="3"/>
      <c r="N7" s="3"/>
      <c r="O7" s="3"/>
    </row>
  </sheetData>
  <autoFilter ref="A1:O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17.42578125" customWidth="1"/>
    <col min="3" max="3" width="19.5703125" customWidth="1"/>
    <col min="4" max="4" width="22.85546875" customWidth="1"/>
    <col min="5" max="5" width="28" customWidth="1"/>
    <col min="6" max="6" width="26.140625" customWidth="1"/>
    <col min="7" max="7" width="12" customWidth="1"/>
    <col min="8" max="8" width="16.28515625" customWidth="1"/>
    <col min="9" max="13" width="20.7109375" customWidth="1"/>
    <col min="14" max="14" width="28" customWidth="1"/>
  </cols>
  <sheetData>
    <row r="1" spans="1:14" x14ac:dyDescent="0.25">
      <c r="A1" s="8" t="s">
        <v>247</v>
      </c>
      <c r="B1" s="8" t="s">
        <v>379</v>
      </c>
      <c r="C1" s="8" t="s">
        <v>380</v>
      </c>
      <c r="D1" s="8" t="s">
        <v>381</v>
      </c>
      <c r="E1" s="8" t="s">
        <v>382</v>
      </c>
      <c r="F1" s="8" t="s">
        <v>383</v>
      </c>
      <c r="G1" s="8" t="s">
        <v>384</v>
      </c>
      <c r="H1" s="8" t="s">
        <v>385</v>
      </c>
      <c r="I1" s="7" t="s">
        <v>386</v>
      </c>
      <c r="J1" s="7" t="s">
        <v>387</v>
      </c>
      <c r="K1" s="7" t="s">
        <v>388</v>
      </c>
      <c r="L1" s="7" t="s">
        <v>389</v>
      </c>
      <c r="M1" s="7" t="s">
        <v>390</v>
      </c>
      <c r="N1" s="8" t="s">
        <v>391</v>
      </c>
    </row>
    <row r="2" spans="1:14" x14ac:dyDescent="0.25">
      <c r="A2" s="9">
        <v>1</v>
      </c>
      <c r="B2" s="9" t="s">
        <v>392</v>
      </c>
      <c r="C2" s="9" t="s">
        <v>77</v>
      </c>
      <c r="D2" s="9" t="s">
        <v>393</v>
      </c>
      <c r="E2" s="9" t="s">
        <v>394</v>
      </c>
      <c r="F2" s="9" t="s">
        <v>395</v>
      </c>
      <c r="G2" s="9" t="s">
        <v>77</v>
      </c>
      <c r="H2" s="9" t="s">
        <v>55</v>
      </c>
      <c r="I2" s="9" t="s">
        <v>396</v>
      </c>
      <c r="J2" s="9" t="s">
        <v>397</v>
      </c>
      <c r="K2" s="9" t="s">
        <v>398</v>
      </c>
      <c r="L2" s="9" t="s">
        <v>399</v>
      </c>
      <c r="M2" s="9" t="s">
        <v>174</v>
      </c>
      <c r="N2" s="9" t="s">
        <v>400</v>
      </c>
    </row>
    <row r="3" spans="1:14" x14ac:dyDescent="0.25">
      <c r="A3" s="3">
        <v>1</v>
      </c>
      <c r="B3" s="3" t="s">
        <v>401</v>
      </c>
      <c r="C3" s="3" t="s">
        <v>45</v>
      </c>
      <c r="D3" s="3" t="s">
        <v>393</v>
      </c>
      <c r="E3" s="3" t="s">
        <v>394</v>
      </c>
      <c r="F3" s="3" t="s">
        <v>395</v>
      </c>
      <c r="G3" s="3" t="s">
        <v>77</v>
      </c>
      <c r="H3" s="3" t="s">
        <v>55</v>
      </c>
      <c r="I3" s="3" t="s">
        <v>396</v>
      </c>
      <c r="J3" s="3" t="s">
        <v>397</v>
      </c>
      <c r="K3" s="3" t="s">
        <v>398</v>
      </c>
      <c r="L3" s="3" t="s">
        <v>399</v>
      </c>
      <c r="M3" s="3" t="s">
        <v>174</v>
      </c>
      <c r="N3" s="3" t="s">
        <v>402</v>
      </c>
    </row>
    <row r="4" spans="1:14" x14ac:dyDescent="0.25">
      <c r="A4" s="9">
        <v>2</v>
      </c>
      <c r="B4" s="9" t="s">
        <v>392</v>
      </c>
      <c r="C4" s="9" t="s">
        <v>77</v>
      </c>
      <c r="D4" s="9" t="s">
        <v>403</v>
      </c>
      <c r="E4" s="9" t="s">
        <v>394</v>
      </c>
      <c r="F4" s="9" t="s">
        <v>174</v>
      </c>
      <c r="G4" s="9" t="s">
        <v>77</v>
      </c>
      <c r="H4" s="9" t="s">
        <v>55</v>
      </c>
      <c r="I4" s="9" t="s">
        <v>404</v>
      </c>
      <c r="J4" s="9" t="s">
        <v>397</v>
      </c>
      <c r="K4" s="9" t="s">
        <v>405</v>
      </c>
      <c r="L4" s="9" t="s">
        <v>406</v>
      </c>
      <c r="M4" s="9" t="s">
        <v>174</v>
      </c>
      <c r="N4" s="9"/>
    </row>
    <row r="5" spans="1:14" x14ac:dyDescent="0.25">
      <c r="A5" s="3">
        <v>3</v>
      </c>
      <c r="B5" s="3" t="s">
        <v>392</v>
      </c>
      <c r="C5" s="3" t="s">
        <v>77</v>
      </c>
      <c r="D5" s="3" t="s">
        <v>407</v>
      </c>
      <c r="E5" s="3" t="s">
        <v>408</v>
      </c>
      <c r="F5" s="3" t="s">
        <v>174</v>
      </c>
      <c r="G5" s="3" t="s">
        <v>77</v>
      </c>
      <c r="H5" s="3" t="s">
        <v>55</v>
      </c>
      <c r="I5" s="3" t="s">
        <v>409</v>
      </c>
      <c r="J5" s="3" t="s">
        <v>397</v>
      </c>
      <c r="K5" s="3" t="s">
        <v>398</v>
      </c>
      <c r="L5" s="3" t="s">
        <v>399</v>
      </c>
      <c r="M5" s="3" t="s">
        <v>174</v>
      </c>
      <c r="N5" s="3" t="s">
        <v>410</v>
      </c>
    </row>
  </sheetData>
  <autoFilter ref="A1:N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26B0A"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2" customWidth="1"/>
    <col min="3" max="3" width="24" customWidth="1"/>
    <col min="4" max="6" width="22.85546875" customWidth="1"/>
    <col min="7" max="7" width="18.42578125" customWidth="1"/>
    <col min="8" max="8" width="20.7109375" customWidth="1"/>
    <col min="9" max="9" width="22.85546875" customWidth="1"/>
    <col min="10" max="11" width="12" customWidth="1"/>
    <col min="12" max="12" width="21.85546875" customWidth="1"/>
    <col min="13" max="13" width="24" customWidth="1"/>
    <col min="14" max="14" width="20.7109375" customWidth="1"/>
    <col min="15" max="16" width="24" customWidth="1"/>
    <col min="17" max="17" width="21.85546875" customWidth="1"/>
    <col min="18" max="18" width="20.7109375" customWidth="1"/>
  </cols>
  <sheetData>
    <row r="1" spans="1:18" x14ac:dyDescent="0.25">
      <c r="A1" s="7" t="s">
        <v>247</v>
      </c>
      <c r="B1" s="7" t="s">
        <v>411</v>
      </c>
      <c r="C1" s="7" t="s">
        <v>412</v>
      </c>
      <c r="D1" s="7" t="s">
        <v>413</v>
      </c>
      <c r="E1" s="7" t="s">
        <v>414</v>
      </c>
      <c r="F1" s="7" t="s">
        <v>415</v>
      </c>
      <c r="G1" s="7" t="s">
        <v>416</v>
      </c>
      <c r="H1" s="7" t="s">
        <v>417</v>
      </c>
      <c r="I1" s="7" t="s">
        <v>418</v>
      </c>
      <c r="J1" s="7" t="s">
        <v>419</v>
      </c>
      <c r="K1" s="7" t="s">
        <v>420</v>
      </c>
      <c r="L1" s="7" t="s">
        <v>421</v>
      </c>
      <c r="M1" s="7" t="s">
        <v>422</v>
      </c>
      <c r="N1" s="7" t="s">
        <v>423</v>
      </c>
      <c r="O1" s="7" t="s">
        <v>424</v>
      </c>
      <c r="P1" s="7" t="s">
        <v>425</v>
      </c>
      <c r="Q1" s="7" t="s">
        <v>426</v>
      </c>
      <c r="R1" s="7" t="s">
        <v>427</v>
      </c>
    </row>
    <row r="2" spans="1:18" x14ac:dyDescent="0.25">
      <c r="A2" s="9">
        <v>1</v>
      </c>
      <c r="B2" s="9" t="s">
        <v>428</v>
      </c>
      <c r="C2" s="9" t="s">
        <v>429</v>
      </c>
      <c r="D2" s="9" t="s">
        <v>430</v>
      </c>
      <c r="E2" s="9" t="s">
        <v>295</v>
      </c>
      <c r="F2" s="9" t="s">
        <v>128</v>
      </c>
      <c r="G2" s="9" t="s">
        <v>208</v>
      </c>
      <c r="H2" s="9" t="s">
        <v>89</v>
      </c>
      <c r="I2" s="9"/>
      <c r="J2" s="9" t="s">
        <v>52</v>
      </c>
      <c r="K2" s="9" t="s">
        <v>51</v>
      </c>
      <c r="L2" s="9" t="s">
        <v>334</v>
      </c>
      <c r="M2" s="9" t="s">
        <v>77</v>
      </c>
      <c r="N2" s="9">
        <v>12</v>
      </c>
      <c r="O2" s="9" t="s">
        <v>431</v>
      </c>
      <c r="P2" s="9" t="s">
        <v>337</v>
      </c>
      <c r="Q2" s="9" t="s">
        <v>432</v>
      </c>
      <c r="R2" s="9" t="s">
        <v>433</v>
      </c>
    </row>
    <row r="3" spans="1:18" x14ac:dyDescent="0.25">
      <c r="A3" s="3">
        <v>2</v>
      </c>
      <c r="B3" s="3"/>
      <c r="C3" s="3" t="s">
        <v>434</v>
      </c>
      <c r="D3" s="3" t="s">
        <v>214</v>
      </c>
      <c r="E3" s="3" t="s">
        <v>318</v>
      </c>
      <c r="F3" s="3" t="s">
        <v>98</v>
      </c>
      <c r="G3" s="3" t="s">
        <v>197</v>
      </c>
      <c r="H3" s="3" t="s">
        <v>58</v>
      </c>
      <c r="I3" s="3"/>
      <c r="J3" s="3" t="s">
        <v>84</v>
      </c>
      <c r="K3" s="3" t="s">
        <v>83</v>
      </c>
      <c r="L3" s="3" t="s">
        <v>435</v>
      </c>
      <c r="M3" s="3" t="s">
        <v>77</v>
      </c>
      <c r="N3" s="3"/>
      <c r="O3" s="3"/>
      <c r="P3" s="3"/>
      <c r="Q3" s="3"/>
      <c r="R3" s="3"/>
    </row>
    <row r="4" spans="1:18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</sheetData>
  <autoFilter ref="A1:R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.5703125" customWidth="1"/>
    <col min="2" max="13" width="8" customWidth="1"/>
    <col min="14" max="14" width="12" customWidth="1"/>
  </cols>
  <sheetData>
    <row r="1" spans="1:14" x14ac:dyDescent="0.25">
      <c r="A1" s="8" t="s">
        <v>247</v>
      </c>
      <c r="B1" s="8" t="s">
        <v>436</v>
      </c>
      <c r="C1" s="8" t="s">
        <v>437</v>
      </c>
      <c r="D1" s="8" t="s">
        <v>438</v>
      </c>
      <c r="E1" s="8" t="s">
        <v>439</v>
      </c>
      <c r="F1" s="8" t="s">
        <v>440</v>
      </c>
      <c r="G1" s="8" t="s">
        <v>441</v>
      </c>
      <c r="H1" s="8" t="s">
        <v>442</v>
      </c>
      <c r="I1" s="8" t="s">
        <v>443</v>
      </c>
      <c r="J1" s="8" t="s">
        <v>444</v>
      </c>
      <c r="K1" s="8" t="s">
        <v>445</v>
      </c>
      <c r="L1" s="8" t="s">
        <v>446</v>
      </c>
      <c r="M1" s="8" t="s">
        <v>447</v>
      </c>
      <c r="N1" s="8" t="s">
        <v>448</v>
      </c>
    </row>
    <row r="2" spans="1:14" x14ac:dyDescent="0.25">
      <c r="A2" s="9">
        <v>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150</v>
      </c>
      <c r="J2" s="9">
        <v>300</v>
      </c>
      <c r="K2" s="9">
        <v>450</v>
      </c>
      <c r="L2" s="9">
        <v>250</v>
      </c>
      <c r="M2" s="9">
        <v>100</v>
      </c>
      <c r="N2" s="12">
        <f>SUM(B2:M2)</f>
        <v>1250</v>
      </c>
    </row>
    <row r="3" spans="1:14" x14ac:dyDescent="0.25">
      <c r="A3" s="3">
        <v>2</v>
      </c>
      <c r="B3" s="3">
        <v>20</v>
      </c>
      <c r="C3" s="3">
        <v>40</v>
      </c>
      <c r="D3" s="3">
        <v>60</v>
      </c>
      <c r="E3" s="3">
        <v>80</v>
      </c>
      <c r="F3" s="3">
        <v>40</v>
      </c>
      <c r="G3" s="3">
        <v>20</v>
      </c>
      <c r="H3" s="3">
        <v>10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13">
        <f>SUM(B3:M3)</f>
        <v>270</v>
      </c>
    </row>
    <row r="4" spans="1:14" x14ac:dyDescent="0.25">
      <c r="A4" s="9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80</v>
      </c>
      <c r="J4" s="9">
        <v>150</v>
      </c>
      <c r="K4" s="9">
        <v>200</v>
      </c>
      <c r="L4" s="9">
        <v>120</v>
      </c>
      <c r="M4" s="9">
        <v>60</v>
      </c>
      <c r="N4" s="12">
        <f>SUM(B4:M4)</f>
        <v>610</v>
      </c>
    </row>
    <row r="5" spans="1:14" x14ac:dyDescent="0.25">
      <c r="A5" s="3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100</v>
      </c>
      <c r="J5" s="3">
        <v>200</v>
      </c>
      <c r="K5" s="3">
        <v>300</v>
      </c>
      <c r="L5" s="3">
        <v>180</v>
      </c>
      <c r="M5" s="3">
        <v>80</v>
      </c>
      <c r="N5" s="13">
        <f>SUM(B5:M5)</f>
        <v>860</v>
      </c>
    </row>
  </sheetData>
  <autoFilter ref="A1:N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366"/>
  </sheetPr>
  <dimension ref="A1:H44"/>
  <sheetViews>
    <sheetView workbookViewId="0"/>
  </sheetViews>
  <sheetFormatPr baseColWidth="10" defaultColWidth="9.140625" defaultRowHeight="15" x14ac:dyDescent="0.25"/>
  <cols>
    <col min="1" max="1" width="30" customWidth="1"/>
    <col min="2" max="2" width="18" customWidth="1"/>
    <col min="3" max="3" width="20" customWidth="1"/>
    <col min="4" max="8" width="18" customWidth="1"/>
  </cols>
  <sheetData>
    <row r="1" spans="1:8" ht="30" customHeight="1" x14ac:dyDescent="0.25">
      <c r="A1" s="32" t="s">
        <v>449</v>
      </c>
      <c r="B1" s="29"/>
      <c r="C1" s="29"/>
      <c r="D1" s="29"/>
      <c r="E1" s="29"/>
      <c r="F1" s="29"/>
      <c r="G1" s="29"/>
      <c r="H1" s="29"/>
    </row>
    <row r="3" spans="1:8" ht="15.75" x14ac:dyDescent="0.25">
      <c r="A3" s="28" t="s">
        <v>450</v>
      </c>
      <c r="B3" s="29"/>
      <c r="C3" s="29"/>
      <c r="D3" s="29"/>
      <c r="E3" s="29"/>
      <c r="F3" s="29"/>
      <c r="G3" s="29"/>
      <c r="H3" s="29"/>
    </row>
    <row r="4" spans="1:8" x14ac:dyDescent="0.25">
      <c r="A4" s="14" t="s">
        <v>451</v>
      </c>
      <c r="B4" s="15">
        <v>4</v>
      </c>
    </row>
    <row r="5" spans="1:8" x14ac:dyDescent="0.25">
      <c r="A5" s="15" t="s">
        <v>452</v>
      </c>
      <c r="B5" s="15">
        <v>1</v>
      </c>
    </row>
    <row r="6" spans="1:8" x14ac:dyDescent="0.25">
      <c r="A6" s="15" t="s">
        <v>453</v>
      </c>
      <c r="B6" s="15">
        <v>1</v>
      </c>
    </row>
    <row r="7" spans="1:8" x14ac:dyDescent="0.25">
      <c r="A7" s="15" t="s">
        <v>454</v>
      </c>
      <c r="B7" s="15">
        <v>1</v>
      </c>
    </row>
    <row r="8" spans="1:8" x14ac:dyDescent="0.25">
      <c r="A8" s="15" t="s">
        <v>455</v>
      </c>
      <c r="B8" s="15">
        <v>1</v>
      </c>
    </row>
    <row r="9" spans="1:8" x14ac:dyDescent="0.25">
      <c r="A9" s="15" t="s">
        <v>456</v>
      </c>
      <c r="B9" s="15">
        <v>1</v>
      </c>
    </row>
    <row r="10" spans="1:8" x14ac:dyDescent="0.25">
      <c r="A10" s="15" t="s">
        <v>457</v>
      </c>
      <c r="B10" s="15">
        <v>0</v>
      </c>
    </row>
    <row r="11" spans="1:8" x14ac:dyDescent="0.25">
      <c r="A11" s="15"/>
      <c r="B11" s="15"/>
    </row>
    <row r="12" spans="1:8" x14ac:dyDescent="0.25">
      <c r="A12" s="14" t="s">
        <v>458</v>
      </c>
      <c r="B12" s="15" t="s">
        <v>459</v>
      </c>
    </row>
    <row r="13" spans="1:8" x14ac:dyDescent="0.25">
      <c r="A13" s="14" t="s">
        <v>460</v>
      </c>
      <c r="B13" s="15" t="s">
        <v>461</v>
      </c>
    </row>
    <row r="17" spans="1:8" ht="15.75" x14ac:dyDescent="0.25">
      <c r="A17" s="28" t="s">
        <v>462</v>
      </c>
      <c r="B17" s="29"/>
      <c r="C17" s="29"/>
      <c r="D17" s="29"/>
      <c r="E17" s="29"/>
      <c r="F17" s="29"/>
      <c r="G17" s="29"/>
      <c r="H17" s="29"/>
    </row>
    <row r="18" spans="1:8" x14ac:dyDescent="0.25">
      <c r="A18" s="16" t="s">
        <v>463</v>
      </c>
      <c r="B18" s="16" t="s">
        <v>464</v>
      </c>
      <c r="C18" s="16" t="s">
        <v>465</v>
      </c>
      <c r="D18" s="16" t="s">
        <v>466</v>
      </c>
      <c r="E18" s="16" t="s">
        <v>467</v>
      </c>
    </row>
    <row r="19" spans="1:8" x14ac:dyDescent="0.25">
      <c r="A19" s="17" t="s">
        <v>468</v>
      </c>
      <c r="B19" s="17">
        <v>3</v>
      </c>
      <c r="C19" s="17" t="s">
        <v>469</v>
      </c>
      <c r="D19" s="18" t="s">
        <v>470</v>
      </c>
      <c r="E19" s="18" t="s">
        <v>471</v>
      </c>
    </row>
    <row r="20" spans="1:8" ht="24" x14ac:dyDescent="0.25">
      <c r="A20" s="17" t="s">
        <v>472</v>
      </c>
      <c r="B20" s="17">
        <v>3</v>
      </c>
      <c r="C20" s="17" t="s">
        <v>473</v>
      </c>
      <c r="D20" s="18" t="s">
        <v>474</v>
      </c>
      <c r="E20" s="18" t="s">
        <v>475</v>
      </c>
    </row>
    <row r="21" spans="1:8" ht="24" x14ac:dyDescent="0.25">
      <c r="A21" s="17" t="s">
        <v>476</v>
      </c>
      <c r="B21" s="17">
        <v>2</v>
      </c>
      <c r="C21" s="17" t="s">
        <v>477</v>
      </c>
      <c r="D21" s="18" t="s">
        <v>478</v>
      </c>
      <c r="E21" s="18" t="s">
        <v>479</v>
      </c>
    </row>
    <row r="22" spans="1:8" x14ac:dyDescent="0.25">
      <c r="A22" s="17" t="s">
        <v>480</v>
      </c>
      <c r="B22" s="17">
        <v>1</v>
      </c>
      <c r="C22" s="17" t="s">
        <v>461</v>
      </c>
      <c r="D22" s="18" t="s">
        <v>481</v>
      </c>
      <c r="E22" s="18" t="s">
        <v>482</v>
      </c>
    </row>
    <row r="24" spans="1:8" ht="15.75" x14ac:dyDescent="0.25">
      <c r="A24" s="28" t="s">
        <v>483</v>
      </c>
      <c r="B24" s="29"/>
      <c r="C24" s="29"/>
      <c r="D24" s="29"/>
      <c r="E24" s="29"/>
      <c r="F24" s="29"/>
      <c r="G24" s="29"/>
      <c r="H24" s="29"/>
    </row>
    <row r="25" spans="1:8" ht="24" x14ac:dyDescent="0.25">
      <c r="A25" s="16" t="s">
        <v>484</v>
      </c>
      <c r="B25" s="16" t="s">
        <v>485</v>
      </c>
      <c r="C25" s="16" t="s">
        <v>486</v>
      </c>
      <c r="D25" s="16" t="s">
        <v>487</v>
      </c>
      <c r="E25" s="16" t="s">
        <v>488</v>
      </c>
      <c r="F25" s="16" t="s">
        <v>489</v>
      </c>
      <c r="G25" s="16" t="s">
        <v>490</v>
      </c>
    </row>
    <row r="26" spans="1:8" x14ac:dyDescent="0.25">
      <c r="A26" s="3">
        <v>1</v>
      </c>
      <c r="B26" s="3" t="s">
        <v>42</v>
      </c>
      <c r="C26" s="3" t="s">
        <v>491</v>
      </c>
      <c r="D26" s="3" t="s">
        <v>492</v>
      </c>
      <c r="E26" s="3" t="s">
        <v>493</v>
      </c>
      <c r="F26" s="3" t="s">
        <v>494</v>
      </c>
      <c r="G26" s="3" t="s">
        <v>495</v>
      </c>
    </row>
    <row r="27" spans="1:8" x14ac:dyDescent="0.25">
      <c r="A27" s="3">
        <v>1</v>
      </c>
      <c r="B27" s="3" t="s">
        <v>74</v>
      </c>
      <c r="C27" s="3" t="s">
        <v>496</v>
      </c>
      <c r="D27" s="3" t="s">
        <v>497</v>
      </c>
      <c r="E27" s="3" t="s">
        <v>498</v>
      </c>
      <c r="F27" s="3" t="s">
        <v>499</v>
      </c>
      <c r="G27" s="3" t="s">
        <v>500</v>
      </c>
    </row>
    <row r="32" spans="1:8" ht="15.75" x14ac:dyDescent="0.25">
      <c r="A32" s="28" t="s">
        <v>501</v>
      </c>
      <c r="B32" s="29"/>
      <c r="C32" s="29"/>
      <c r="D32" s="29"/>
      <c r="E32" s="29"/>
      <c r="F32" s="29"/>
      <c r="G32" s="29"/>
      <c r="H32" s="29"/>
    </row>
    <row r="33" spans="1:8" ht="15.75" x14ac:dyDescent="0.25">
      <c r="A33" s="33" t="s">
        <v>502</v>
      </c>
      <c r="B33" s="27"/>
      <c r="C33" s="19" t="s">
        <v>503</v>
      </c>
      <c r="D33" s="25" t="s">
        <v>504</v>
      </c>
      <c r="E33" s="26"/>
      <c r="F33" s="26"/>
      <c r="G33" s="26"/>
      <c r="H33" s="27"/>
    </row>
    <row r="34" spans="1:8" ht="15.75" x14ac:dyDescent="0.25">
      <c r="A34" s="35" t="s">
        <v>505</v>
      </c>
      <c r="B34" s="27"/>
      <c r="C34" s="19" t="s">
        <v>506</v>
      </c>
      <c r="D34" s="25" t="s">
        <v>507</v>
      </c>
      <c r="E34" s="26"/>
      <c r="F34" s="26"/>
      <c r="G34" s="26"/>
      <c r="H34" s="27"/>
    </row>
    <row r="35" spans="1:8" ht="15.75" x14ac:dyDescent="0.25">
      <c r="A35" s="34" t="s">
        <v>508</v>
      </c>
      <c r="B35" s="27"/>
      <c r="C35" s="19" t="s">
        <v>509</v>
      </c>
      <c r="D35" s="25" t="s">
        <v>510</v>
      </c>
      <c r="E35" s="26"/>
      <c r="F35" s="26"/>
      <c r="G35" s="26"/>
      <c r="H35" s="27"/>
    </row>
    <row r="36" spans="1:8" ht="15.75" x14ac:dyDescent="0.25">
      <c r="A36" s="31" t="s">
        <v>511</v>
      </c>
      <c r="B36" s="27"/>
      <c r="C36" s="19" t="s">
        <v>512</v>
      </c>
      <c r="D36" s="25" t="s">
        <v>513</v>
      </c>
      <c r="E36" s="26"/>
      <c r="F36" s="26"/>
      <c r="G36" s="26"/>
      <c r="H36" s="27"/>
    </row>
    <row r="39" spans="1:8" ht="15.75" x14ac:dyDescent="0.25">
      <c r="A39" s="28" t="s">
        <v>514</v>
      </c>
      <c r="B39" s="29"/>
      <c r="C39" s="29"/>
      <c r="D39" s="29"/>
      <c r="E39" s="29"/>
      <c r="F39" s="29"/>
      <c r="G39" s="29"/>
      <c r="H39" s="29"/>
    </row>
    <row r="40" spans="1:8" x14ac:dyDescent="0.25">
      <c r="A40" s="20" t="s">
        <v>515</v>
      </c>
      <c r="B40" s="30" t="s">
        <v>516</v>
      </c>
      <c r="C40" s="26"/>
      <c r="D40" s="26"/>
      <c r="E40" s="26"/>
      <c r="F40" s="26"/>
      <c r="G40" s="26"/>
      <c r="H40" s="27"/>
    </row>
    <row r="41" spans="1:8" x14ac:dyDescent="0.25">
      <c r="A41" s="21" t="s">
        <v>517</v>
      </c>
      <c r="B41" s="30" t="s">
        <v>518</v>
      </c>
      <c r="C41" s="26"/>
      <c r="D41" s="26"/>
      <c r="E41" s="26"/>
      <c r="F41" s="26"/>
      <c r="G41" s="26"/>
      <c r="H41" s="27"/>
    </row>
    <row r="42" spans="1:8" x14ac:dyDescent="0.25">
      <c r="A42" s="22" t="s">
        <v>519</v>
      </c>
      <c r="B42" s="30" t="s">
        <v>520</v>
      </c>
      <c r="C42" s="26"/>
      <c r="D42" s="26"/>
      <c r="E42" s="26"/>
      <c r="F42" s="26"/>
      <c r="G42" s="26"/>
      <c r="H42" s="27"/>
    </row>
    <row r="43" spans="1:8" x14ac:dyDescent="0.25">
      <c r="A43" s="23" t="s">
        <v>521</v>
      </c>
      <c r="B43" s="30" t="s">
        <v>522</v>
      </c>
      <c r="C43" s="26"/>
      <c r="D43" s="26"/>
      <c r="E43" s="26"/>
      <c r="F43" s="26"/>
      <c r="G43" s="26"/>
      <c r="H43" s="27"/>
    </row>
    <row r="44" spans="1:8" x14ac:dyDescent="0.25">
      <c r="A44" s="24" t="s">
        <v>523</v>
      </c>
      <c r="B44" s="30" t="s">
        <v>524</v>
      </c>
      <c r="C44" s="26"/>
      <c r="D44" s="26"/>
      <c r="E44" s="26"/>
      <c r="F44" s="26"/>
      <c r="G44" s="26"/>
      <c r="H44" s="27"/>
    </row>
  </sheetData>
  <mergeCells count="19">
    <mergeCell ref="B44:H44"/>
    <mergeCell ref="D33:H33"/>
    <mergeCell ref="A34:B34"/>
    <mergeCell ref="B43:H43"/>
    <mergeCell ref="B42:H42"/>
    <mergeCell ref="A32:H32"/>
    <mergeCell ref="A35:B35"/>
    <mergeCell ref="A17:H17"/>
    <mergeCell ref="A1:H1"/>
    <mergeCell ref="D36:H36"/>
    <mergeCell ref="B41:H41"/>
    <mergeCell ref="A3:H3"/>
    <mergeCell ref="A33:B33"/>
    <mergeCell ref="D35:H35"/>
    <mergeCell ref="A39:H39"/>
    <mergeCell ref="B40:H40"/>
    <mergeCell ref="D34:H34"/>
    <mergeCell ref="A24:H24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PARAMETROS</vt:lpstr>
      <vt:lpstr>MATRIZ_MAESTRA</vt:lpstr>
      <vt:lpstr>CONSUMO_MATERIALES</vt:lpstr>
      <vt:lpstr>COMPOSICION_MARQUILLAS</vt:lpstr>
      <vt:lpstr>CONTROL_CONTRAMUESTRAS</vt:lpstr>
      <vt:lpstr>CURVA_TALLAS</vt:lpstr>
      <vt:lpstr>REPORTES_DINAMICOS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sistemas JO</cp:lastModifiedBy>
  <dcterms:created xsi:type="dcterms:W3CDTF">2026-05-21T19:36:10Z</dcterms:created>
  <dcterms:modified xsi:type="dcterms:W3CDTF">2026-05-21T19:55:47Z</dcterms:modified>
</cp:coreProperties>
</file>